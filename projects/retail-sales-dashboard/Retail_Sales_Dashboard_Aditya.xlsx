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C:\Users\KIIT\Desktop\Aditya\Projects\Week 1-2\Retail_Sales_Dashboard\"/>
    </mc:Choice>
  </mc:AlternateContent>
  <xr:revisionPtr revIDLastSave="0" documentId="13_ncr:1_{B9AAFE34-AC13-4E06-8A3D-22B029F8B271}" xr6:coauthVersionLast="47" xr6:coauthVersionMax="47" xr10:uidLastSave="{00000000-0000-0000-0000-000000000000}"/>
  <bookViews>
    <workbookView xWindow="-108" yWindow="-108" windowWidth="23256" windowHeight="12456" activeTab="4" xr2:uid="{00000000-000D-0000-FFFF-FFFF00000000}"/>
  </bookViews>
  <sheets>
    <sheet name="README" sheetId="11" r:id="rId1"/>
    <sheet name="data" sheetId="1" r:id="rId2"/>
    <sheet name="CleanedData" sheetId="3" r:id="rId3"/>
    <sheet name="Pivots" sheetId="5" r:id="rId4"/>
    <sheet name="Dashboard" sheetId="8" r:id="rId5"/>
  </sheets>
  <definedNames>
    <definedName name="ExternalData_1" localSheetId="2" hidden="1">CleanedData!$A$1:$M$501</definedName>
    <definedName name="Slicer_Category">#N/A</definedName>
    <definedName name="Slicer_Region">#N/A</definedName>
    <definedName name="Slicer_Year">#N/A</definedName>
  </definedNames>
  <calcPr calcId="18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P2" i="3" l="1"/>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O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6752D3-861D-441A-A955-74F7FC2556C2}" keepAlive="1" name="Query - SalesData" description="Connection to the 'SalesData' query in the workbook." type="5" refreshedVersion="8" background="1" saveData="1">
    <dbPr connection="Provider=Microsoft.Mashup.OleDb.1;Data Source=$Workbook$;Location=SalesData;Extended Properties=&quot;&quot;" command="SELECT * FROM [SalesData]"/>
  </connection>
</connections>
</file>

<file path=xl/sharedStrings.xml><?xml version="1.0" encoding="utf-8"?>
<sst xmlns="http://schemas.openxmlformats.org/spreadsheetml/2006/main" count="6170" uniqueCount="685">
  <si>
    <t>OrderID</t>
  </si>
  <si>
    <t>OrderDate</t>
  </si>
  <si>
    <t>Region</t>
  </si>
  <si>
    <t>State</t>
  </si>
  <si>
    <t>City</t>
  </si>
  <si>
    <t>Category</t>
  </si>
  <si>
    <t>Product</t>
  </si>
  <si>
    <t>Quantity</t>
  </si>
  <si>
    <t>UnitPrice</t>
  </si>
  <si>
    <t>Discount</t>
  </si>
  <si>
    <t>Sales</t>
  </si>
  <si>
    <t>Cost</t>
  </si>
  <si>
    <t>Profit</t>
  </si>
  <si>
    <t>Year</t>
  </si>
  <si>
    <t>Month</t>
  </si>
  <si>
    <t>YearMonth</t>
  </si>
  <si>
    <t>ORD10000</t>
  </si>
  <si>
    <t>ORD10001</t>
  </si>
  <si>
    <t>ORD10002</t>
  </si>
  <si>
    <t>ORD10003</t>
  </si>
  <si>
    <t>ORD10004</t>
  </si>
  <si>
    <t>ORD10005</t>
  </si>
  <si>
    <t>ORD10006</t>
  </si>
  <si>
    <t>ORD10007</t>
  </si>
  <si>
    <t>ORD10008</t>
  </si>
  <si>
    <t>ORD10009</t>
  </si>
  <si>
    <t>ORD10010</t>
  </si>
  <si>
    <t>ORD10011</t>
  </si>
  <si>
    <t>ORD10012</t>
  </si>
  <si>
    <t>ORD10013</t>
  </si>
  <si>
    <t>ORD10014</t>
  </si>
  <si>
    <t>ORD10015</t>
  </si>
  <si>
    <t>ORD10016</t>
  </si>
  <si>
    <t>ORD10017</t>
  </si>
  <si>
    <t>ORD10018</t>
  </si>
  <si>
    <t>ORD10019</t>
  </si>
  <si>
    <t>ORD10020</t>
  </si>
  <si>
    <t>ORD10021</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</si>
  <si>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</si>
  <si>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</si>
  <si>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</si>
  <si>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</si>
  <si>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</si>
  <si>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</si>
  <si>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</si>
  <si>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</si>
  <si>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</si>
  <si>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</si>
  <si>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</si>
  <si>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</si>
  <si>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</si>
  <si>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</si>
  <si>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</si>
  <si>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</si>
  <si>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</si>
  <si>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</si>
  <si>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</si>
  <si>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</si>
  <si>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</si>
  <si>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</si>
  <si>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</si>
  <si>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</si>
  <si>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</si>
  <si>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</si>
  <si>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</si>
  <si>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</si>
  <si>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</si>
  <si>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</si>
  <si>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</si>
  <si>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</si>
  <si>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</si>
  <si>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</si>
  <si>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</si>
  <si>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</si>
  <si>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</si>
  <si>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</si>
  <si>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</si>
  <si>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</si>
  <si>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</si>
  <si>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</si>
  <si>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</si>
  <si>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</si>
  <si>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</si>
  <si>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</si>
  <si>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</si>
  <si>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</si>
  <si>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</si>
  <si>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</si>
  <si>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</si>
  <si>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</si>
  <si>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</si>
  <si>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</si>
  <si>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</si>
  <si>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</si>
  <si>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</si>
  <si>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</si>
  <si>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</si>
  <si>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</si>
  <si>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</si>
  <si>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</si>
  <si>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</si>
  <si>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</si>
  <si>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</si>
  <si>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</si>
  <si>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</si>
  <si>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</si>
  <si>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</si>
  <si>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</si>
  <si>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</si>
  <si>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</si>
  <si>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</si>
  <si>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</si>
  <si>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</si>
  <si>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</si>
  <si>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</si>
  <si>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</si>
  <si>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</si>
  <si>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</si>
  <si>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</si>
  <si>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</si>
  <si>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</si>
  <si>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</si>
  <si>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</si>
  <si>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</si>
  <si>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</si>
  <si>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</si>
  <si>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</si>
  <si>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</si>
  <si>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</si>
  <si>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</si>
  <si>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</si>
  <si>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</si>
  <si>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</si>
  <si>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</si>
  <si>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</si>
  <si>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</si>
  <si>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</si>
  <si>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</si>
  <si>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</si>
  <si>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</si>
  <si>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</si>
  <si>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</si>
  <si>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</si>
  <si>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</si>
  <si>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</si>
  <si>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</si>
  <si>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</si>
  <si>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</si>
  <si>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</si>
  <si>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</si>
  <si>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</si>
  <si>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</si>
  <si>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</si>
  <si>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</si>
  <si>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</si>
  <si>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</si>
  <si>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</si>
  <si>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</si>
  <si>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</si>
  <si>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</si>
  <si>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</si>
  <si>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</si>
  <si>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</si>
  <si>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</si>
  <si>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</si>
  <si>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</si>
  <si>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</si>
  <si>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</si>
  <si>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</si>
  <si>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</si>
  <si>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</si>
  <si>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</si>
  <si>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</si>
  <si>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</si>
  <si>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</si>
  <si>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</si>
  <si>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</si>
  <si>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</si>
  <si>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</si>
  <si>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</si>
  <si>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</si>
  <si>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</si>
  <si>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</si>
  <si>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</si>
  <si>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</si>
  <si>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</si>
  <si>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</si>
  <si>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</si>
  <si>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</si>
  <si>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</si>
  <si>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</si>
  <si>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</si>
  <si>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</si>
  <si>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</si>
  <si>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</si>
  <si>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</si>
  <si>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</si>
  <si>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</si>
  <si>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</si>
  <si>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</si>
  <si>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</si>
  <si>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</si>
  <si>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</si>
  <si>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</si>
  <si>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</si>
  <si>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</si>
  <si>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</si>
  <si>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</si>
  <si>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</si>
  <si>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</si>
  <si>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</si>
  <si>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</si>
  <si>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</si>
  <si>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</si>
  <si>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</si>
  <si>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</si>
  <si>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</si>
  <si>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</si>
  <si>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</si>
  <si>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</si>
  <si>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</si>
  <si>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</si>
  <si>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</si>
  <si>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</si>
  <si>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</si>
  <si>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</si>
  <si>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</si>
  <si>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</si>
  <si>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</si>
  <si>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</si>
  <si>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</si>
  <si>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</si>
  <si>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</si>
  <si>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</si>
  <si>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</si>
  <si>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</si>
  <si>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</si>
  <si>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</si>
  <si>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</si>
  <si>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</si>
  <si>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</si>
  <si>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</si>
  <si>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</si>
  <si>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</si>
  <si>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</si>
  <si>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</si>
  <si>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</si>
  <si>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</si>
  <si>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</si>
  <si>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</si>
  <si>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</si>
  <si>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</si>
  <si>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</si>
  <si>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</si>
  <si>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</si>
  <si>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</si>
  <si>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</si>
  <si>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</si>
  <si>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</si>
  <si>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</si>
  <si>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</si>
  <si>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</si>
  <si>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</si>
  <si>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</si>
  <si>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</si>
  <si>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</si>
  <si>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</si>
  <si>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</si>
  <si>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</si>
  <si>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</si>
  <si>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</si>
  <si>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</si>
  <si>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</si>
  <si>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</si>
  <si>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</si>
  <si>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</si>
  <si>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</si>
  <si>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</si>
  <si>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</si>
  <si>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</si>
  <si>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</si>
  <si>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</si>
  <si>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</si>
  <si>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</si>
  <si>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</si>
  <si>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</si>
  <si>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</si>
  <si>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</si>
  <si>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</si>
  <si>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</si>
  <si>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</si>
  <si>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</si>
  <si>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</si>
  <si>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</si>
  <si>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</si>
  <si>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</si>
  <si>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</si>
  <si>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</si>
  <si>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</si>
  <si>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</si>
  <si>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</si>
  <si>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</si>
  <si>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</si>
  <si>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</si>
  <si>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</si>
  <si>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</si>
  <si>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</si>
  <si>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</si>
  <si>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</si>
  <si>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</si>
  <si>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</si>
  <si>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</si>
  <si>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</si>
  <si>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</si>
  <si>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</si>
  <si>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</si>
  <si>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</si>
  <si>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</si>
  <si>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</si>
  <si>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</si>
  <si>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</si>
  <si>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</si>
  <si>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</si>
  <si>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</si>
  <si>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</si>
  <si>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</si>
  <si>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</si>
  <si>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</si>
  <si>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</si>
  <si>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</si>
  <si>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</si>
  <si>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</si>
  <si>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</si>
  <si>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</si>
  <si>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</si>
  <si>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</si>
  <si>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</si>
  <si>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</si>
  <si>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</si>
  <si>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</si>
  <si>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</si>
  <si>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</si>
  <si>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</si>
  <si>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</si>
  <si>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</si>
  <si>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</si>
  <si>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</si>
  <si>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</si>
  <si>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</si>
  <si>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</si>
  <si>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</si>
  <si>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</si>
  <si>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</si>
  <si>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</si>
  <si>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</si>
  <si>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</si>
  <si>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</si>
  <si>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</si>
  <si>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</si>
  <si>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</si>
  <si>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</si>
  <si>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</si>
  <si>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</si>
  <si>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</si>
  <si>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</si>
  <si>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</si>
  <si>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</si>
  <si>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</si>
  <si>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</si>
  <si>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</si>
  <si>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</si>
  <si>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</si>
  <si>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</si>
  <si>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</si>
  <si>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</si>
  <si>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</si>
  <si>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</si>
  <si>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</si>
  <si>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</si>
  <si>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</si>
  <si>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</si>
  <si>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</si>
  <si>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</si>
  <si>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</si>
  <si>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</si>
  <si>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</si>
  <si>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</si>
  <si>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</si>
  <si>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</si>
  <si>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</si>
  <si>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</si>
  <si>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</si>
  <si>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</si>
  <si>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</si>
  <si>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</si>
  <si>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</si>
  <si>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</si>
  <si>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</si>
  <si>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</si>
  <si>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</si>
  <si>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</si>
  <si>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</si>
  <si>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</si>
  <si>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</si>
  <si>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</si>
  <si>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</si>
  <si>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</si>
  <si>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</si>
  <si>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</si>
  <si>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</si>
  <si>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</si>
  <si>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</si>
  <si>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</si>
  <si>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</si>
  <si>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</si>
  <si>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</si>
  <si>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</si>
  <si>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</si>
  <si>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</si>
  <si>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</si>
  <si>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</si>
  <si>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</si>
  <si>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</si>
  <si>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</si>
  <si>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</si>
  <si>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</si>
  <si>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</si>
  <si>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</si>
  <si>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</si>
  <si>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</si>
  <si>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</si>
  <si>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</si>
  <si>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</si>
  <si>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</si>
  <si>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</si>
  <si>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</si>
  <si>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</si>
  <si>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</si>
  <si>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</si>
  <si>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</si>
  <si>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</si>
  <si>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</si>
  <si>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</si>
  <si>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</si>
  <si>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</si>
  <si>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</si>
  <si>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</si>
  <si>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</si>
  <si>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</si>
  <si>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</si>
  <si>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</si>
  <si>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</si>
  <si>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</si>
  <si>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</si>
  <si>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</si>
  <si>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</si>
  <si>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</si>
  <si>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</si>
  <si>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</si>
  <si>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</si>
  <si>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</si>
  <si>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</si>
  <si>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</si>
  <si>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</si>
  <si>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</si>
  <si>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</si>
  <si>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</si>
  <si>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</si>
  <si>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</si>
  <si>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</si>
  <si>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</si>
  <si>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</si>
  <si>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</si>
  <si>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</si>
  <si>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</si>
  <si>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</si>
  <si>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</si>
  <si>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</si>
  <si>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</si>
  <si>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</si>
  <si>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</si>
  <si>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</si>
  <si>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</si>
  <si>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</si>
  <si>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</si>
  <si>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</si>
  <si>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</si>
  <si>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</si>
  <si>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</si>
  <si>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</si>
  <si>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</si>
  <si>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</si>
  <si>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</si>
  <si>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</si>
  <si>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</si>
  <si>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</si>
  <si>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</si>
  <si>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</si>
  <si>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</si>
  <si>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</si>
  <si>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</si>
  <si>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</si>
  <si>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</si>
  <si>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</si>
  <si>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</si>
  <si>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</si>
  <si>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</si>
  <si>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</si>
  <si>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</si>
  <si>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</si>
  <si>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</si>
  <si>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</si>
  <si>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</si>
  <si>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</si>
  <si>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</si>
  <si>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</si>
  <si>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East</t>
  </si>
  <si>
    <t>North</t>
  </si>
  <si>
    <t>West</t>
  </si>
  <si>
    <t>South</t>
  </si>
  <si>
    <t>Central</t>
  </si>
  <si>
    <t>Odisha</t>
  </si>
  <si>
    <t>Jharkhand</t>
  </si>
  <si>
    <t>Punjab</t>
  </si>
  <si>
    <t>Gujarat</t>
  </si>
  <si>
    <t>Bengal</t>
  </si>
  <si>
    <t>Karnataka</t>
  </si>
  <si>
    <t>Assam</t>
  </si>
  <si>
    <t>Madhya Pradesh</t>
  </si>
  <si>
    <t>Goa</t>
  </si>
  <si>
    <t>Uttar Pradesh</t>
  </si>
  <si>
    <t>Haryana</t>
  </si>
  <si>
    <t>Kerala</t>
  </si>
  <si>
    <t>Tamil Nadu</t>
  </si>
  <si>
    <t>Andhra Pradesh</t>
  </si>
  <si>
    <t>Chhattisgarh</t>
  </si>
  <si>
    <t>Delhi</t>
  </si>
  <si>
    <t>Maharashtra</t>
  </si>
  <si>
    <t>Bhubaneswar</t>
  </si>
  <si>
    <t>Ranchi</t>
  </si>
  <si>
    <t>Ludhiana</t>
  </si>
  <si>
    <t>Surat</t>
  </si>
  <si>
    <t>Siliguri</t>
  </si>
  <si>
    <t>Mysuru</t>
  </si>
  <si>
    <t>Amritsar</t>
  </si>
  <si>
    <t>Jamshedpur</t>
  </si>
  <si>
    <t>Guwahati</t>
  </si>
  <si>
    <t>Bhopal</t>
  </si>
  <si>
    <t>Panaji</t>
  </si>
  <si>
    <t>Kanpur</t>
  </si>
  <si>
    <t>Ahmedabad</t>
  </si>
  <si>
    <t>Gurugram</t>
  </si>
  <si>
    <t>Indore</t>
  </si>
  <si>
    <t>Margao</t>
  </si>
  <si>
    <t>Thiruvananthapuram</t>
  </si>
  <si>
    <t>Coimbatore</t>
  </si>
  <si>
    <t>Visakhapatnam</t>
  </si>
  <si>
    <t>Kolkata</t>
  </si>
  <si>
    <t>Dibrugarh</t>
  </si>
  <si>
    <t>Bilaspur</t>
  </si>
  <si>
    <t>New Delhi</t>
  </si>
  <si>
    <t>Mumbai</t>
  </si>
  <si>
    <t>Bengaluru</t>
  </si>
  <si>
    <t>Faridabad</t>
  </si>
  <si>
    <t>Kochi</t>
  </si>
  <si>
    <t>Raipur</t>
  </si>
  <si>
    <t>Vijayawada</t>
  </si>
  <si>
    <t>Lucknow</t>
  </si>
  <si>
    <t>Cuttack</t>
  </si>
  <si>
    <t>Pune</t>
  </si>
  <si>
    <t>Chennai</t>
  </si>
  <si>
    <t>Technology</t>
  </si>
  <si>
    <t>Office Supplies</t>
  </si>
  <si>
    <t>Furniture</t>
  </si>
  <si>
    <t>Monitor</t>
  </si>
  <si>
    <t>Laptop</t>
  </si>
  <si>
    <t>Router</t>
  </si>
  <si>
    <t>Pens</t>
  </si>
  <si>
    <t>Printer</t>
  </si>
  <si>
    <t>Headset</t>
  </si>
  <si>
    <t>Bookcase</t>
  </si>
  <si>
    <t>Cabinet</t>
  </si>
  <si>
    <t>Desk</t>
  </si>
  <si>
    <t>Stapler</t>
  </si>
  <si>
    <t>Table</t>
  </si>
  <si>
    <t>Chair</t>
  </si>
  <si>
    <t>Envelopes</t>
  </si>
  <si>
    <t>Folders</t>
  </si>
  <si>
    <t>Paper</t>
  </si>
  <si>
    <t>2024-04</t>
  </si>
  <si>
    <t>2025-07</t>
  </si>
  <si>
    <t>2024-01</t>
  </si>
  <si>
    <t>2024-12</t>
  </si>
  <si>
    <t>2024-02</t>
  </si>
  <si>
    <t>2025-01</t>
  </si>
  <si>
    <t>2024-08</t>
  </si>
  <si>
    <t>2024-09</t>
  </si>
  <si>
    <t>2025-02</t>
  </si>
  <si>
    <t>2025-04</t>
  </si>
  <si>
    <t>2025-03</t>
  </si>
  <si>
    <t>2024-07</t>
  </si>
  <si>
    <t>2025-05</t>
  </si>
  <si>
    <t>2024-03</t>
  </si>
  <si>
    <t>2024-11</t>
  </si>
  <si>
    <t>2025-08</t>
  </si>
  <si>
    <t>2024-05</t>
  </si>
  <si>
    <t>2025-06</t>
  </si>
  <si>
    <t>2024-06</t>
  </si>
  <si>
    <t>2024-10</t>
  </si>
  <si>
    <t>Total Sales</t>
  </si>
  <si>
    <t>Total Profit</t>
  </si>
  <si>
    <t>Orders</t>
  </si>
  <si>
    <t>Units Sold</t>
  </si>
  <si>
    <t>Profit Margin %</t>
  </si>
  <si>
    <t>Average Order Value</t>
  </si>
  <si>
    <t>KPIs</t>
  </si>
  <si>
    <t>Sales by Month</t>
  </si>
  <si>
    <t>Grand Total</t>
  </si>
  <si>
    <t>Retail Sales Dashboard (2024–2025)</t>
  </si>
  <si>
    <t>Sales by Region</t>
  </si>
  <si>
    <t>Category Share</t>
  </si>
  <si>
    <t>Top 10 Products</t>
  </si>
  <si>
    <t>https://github.com/Aditya-Raj-Majumder</t>
  </si>
  <si>
    <t>GitHub Portfolio:</t>
  </si>
  <si>
    <t>https://www.linkedin.com/in/aditya-raj-majumder-600533250/</t>
  </si>
  <si>
    <t>LinkedIn:</t>
  </si>
  <si>
    <t>Aditya Raj Majumder</t>
  </si>
  <si>
    <t>Created By:</t>
  </si>
  <si>
    <t>Author &amp; Links</t>
  </si>
  <si>
    <t>Explore monthly and regional trends via interactive visuals.</t>
  </si>
  <si>
    <t>5️⃣</t>
  </si>
  <si>
    <t>Review KPI cards at the top for key performance summaries.</t>
  </si>
  <si>
    <t>4️⃣</t>
  </si>
  <si>
    <t>Hover over charts to view exact values.</t>
  </si>
  <si>
    <t>3️⃣</t>
  </si>
  <si>
    <t>Use slicers to filter by Region, Category, and Year.</t>
  </si>
  <si>
    <t>2️⃣</t>
  </si>
  <si>
    <t>Go to the Dashboard sheet.</t>
  </si>
  <si>
    <t>1️⃣</t>
  </si>
  <si>
    <t>How to Use This Dashboard</t>
  </si>
  <si>
    <r>
      <t xml:space="preserve">The overall </t>
    </r>
    <r>
      <rPr>
        <b/>
        <sz val="12"/>
        <color theme="1"/>
        <rFont val="Calibri"/>
        <family val="2"/>
        <scheme val="minor"/>
      </rPr>
      <t>Profit Margin is 20.35%</t>
    </r>
    <r>
      <rPr>
        <sz val="12"/>
        <color theme="1"/>
        <rFont val="Calibri"/>
        <family val="2"/>
        <scheme val="minor"/>
      </rPr>
      <t>, reflecting healthy profitability across all analyzed categories.</t>
    </r>
  </si>
  <si>
    <t>Headsets and Monitors are the top-selling products, together accounting for a major portion of total sales.</t>
  </si>
  <si>
    <t>Sales show noticeable peaks in April 2024 and mid-2025, indicating strong seasonal demand or promotional periods.</t>
  </si>
  <si>
    <t>The Technology category dominates performance, contributing over 70% of total sales and around 69% of total profit, whereas Office Supplies has the smallest share.</t>
  </si>
  <si>
    <t>Key Insights</t>
  </si>
  <si>
    <t>Profit ÷ Sales (as a percentage).</t>
  </si>
  <si>
    <t>Profit Margin</t>
  </si>
  <si>
    <t>Average sales per order.</t>
  </si>
  <si>
    <t>Average Order Value (AOV)</t>
  </si>
  <si>
    <t>Total number of transactions.</t>
  </si>
  <si>
    <t>Net profit after deducting costs.</t>
  </si>
  <si>
    <t>Overall revenue generated.</t>
  </si>
  <si>
    <t>Key KPIs and Metrics</t>
  </si>
  <si>
    <t>Documentation and project overview (this sheet).</t>
  </si>
  <si>
    <t>README</t>
  </si>
  <si>
    <t>Interactive dashboard with slicers and visualizations.</t>
  </si>
  <si>
    <t>Dashboard</t>
  </si>
  <si>
    <t>PivotTables for KPIs, trends, and categorical breakdowns.</t>
  </si>
  <si>
    <t>Pivots</t>
  </si>
  <si>
    <t>Final cleaned and prepared dataset used for analysis and visualization.</t>
  </si>
  <si>
    <t>CleanedData</t>
  </si>
  <si>
    <t>Contains the raw sales transaction data used for analysis.</t>
  </si>
  <si>
    <t>Data</t>
  </si>
  <si>
    <t>Sheet Descriptions</t>
  </si>
  <si>
    <t>OrderDate, Region, State, City, Category, Product, Sales, Profit, Quantity, Year, Month, YearMonth</t>
  </si>
  <si>
    <t>Main Fields:</t>
  </si>
  <si>
    <t>January 2024 – August 2025</t>
  </si>
  <si>
    <t>Time Period Covered:</t>
  </si>
  <si>
    <t>500 transactions</t>
  </si>
  <si>
    <t>Records:</t>
  </si>
  <si>
    <t>Synthetic dataset generated for learning and portfolio purposes</t>
  </si>
  <si>
    <t>Dataset Source:</t>
  </si>
  <si>
    <t>Dataset Information</t>
  </si>
  <si>
    <t>Date Created:</t>
  </si>
  <si>
    <t>Microsoft Excel (PivotTables, Charts, Slicers, Power Query)</t>
  </si>
  <si>
    <t>Tools Used:</t>
  </si>
  <si>
    <t>To analyze and visualize retail sales data to identify performance trends, key revenue drivers, and regional profitability.</t>
  </si>
  <si>
    <t>Objective:</t>
  </si>
  <si>
    <t>Author:</t>
  </si>
  <si>
    <t>Retail Sales Dashboard (Excel)</t>
  </si>
  <si>
    <t>Project Type:</t>
  </si>
  <si>
    <t>Data Analytics Portfolio Project</t>
  </si>
  <si>
    <t>Domain:</t>
  </si>
  <si>
    <t>Retail Sales Analytics</t>
  </si>
  <si>
    <t>The North and East regions generate the highest total sales and profit, while the West region also performs strongly in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</si>
</sst>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
  </numFmts>
  <fonts count="11" x14ac:knownFonts="1">
    <font>
      <sz val="11"/>
      <color theme="1"/>
      <name val="Calibri"/>
      <family val="2"/>
      <scheme val="minor"/>
    </font>
    <font>
      <b/>
      <sz val="11"/>
      <color theme="1"/>
      <name val="Calibri"/>
      <family val="2"/>
      <scheme val="minor"/>
    </font>
    <font>
      <sz val="8"/>
      <name val="Calibri"/>
      <family val="2"/>
      <scheme val="minor"/>
    </font>
    <font>
      <b/>
      <u/>
      <sz val="16"/>
      <color theme="1"/>
      <name val="Calibri"/>
      <family val="2"/>
      <scheme val="minor"/>
    </font>
    <font>
      <b/>
      <sz val="20"/>
      <color theme="1"/>
      <name val="Calibri"/>
      <family val="2"/>
      <scheme val="minor"/>
    </font>
    <font>
      <u/>
      <sz val="11"/>
      <color theme="10"/>
      <name val="Calibri"/>
      <family val="2"/>
    </font>
    <font>
      <u/>
      <sz val="12"/>
      <color theme="10"/>
      <name val="Calibri"/>
      <family val="2"/>
    </font>
    <font>
      <b/>
      <sz val="12"/>
      <color theme="1"/>
      <name val="Calibri"/>
      <family val="2"/>
      <scheme val="minor"/>
    </font>
    <font>
      <sz val="12"/>
      <color theme="1"/>
      <name val="Calibri"/>
      <family val="2"/>
      <scheme val="minor"/>
    </font>
    <font>
      <b/>
      <sz val="14"/>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8" tint="0.59999389629810485"/>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5" fillId="0" borderId="0" applyNumberFormat="0" applyFill="0" applyBorder="0" applyAlignment="0" applyProtection="0">
      <alignment vertical="top"/>
      <protection locked="0"/>
    </xf>
  </cellStyleXfs>
  <cellXfs count="26">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applyNumberFormat="1"/>
    <xf numFmtId="14" fontId="0" fillId="0" borderId="0" xfId="0" applyNumberFormat="1"/>
    <xf numFmtId="165" fontId="0" fillId="0" borderId="0" xfId="0" applyNumberFormat="1"/>
    <xf numFmtId="0" fontId="0" fillId="0" borderId="0" xfId="0" applyAlignment="1">
      <alignment horizontal="center"/>
    </xf>
    <xf numFmtId="165" fontId="0" fillId="0" borderId="0" xfId="0" applyNumberFormat="1" applyAlignment="1">
      <alignment horizontal="center"/>
    </xf>
    <xf numFmtId="0" fontId="0" fillId="0" borderId="0" xfId="0" applyNumberFormat="1" applyAlignment="1">
      <alignment horizontal="center"/>
    </xf>
    <xf numFmtId="10" fontId="0" fillId="0" borderId="0" xfId="0" applyNumberFormat="1" applyAlignment="1">
      <alignment horizontal="center"/>
    </xf>
    <xf numFmtId="0" fontId="3" fillId="0" borderId="0" xfId="0" applyFont="1"/>
    <xf numFmtId="0" fontId="0" fillId="0" borderId="0" xfId="0" pivotButton="1"/>
    <xf numFmtId="0" fontId="0" fillId="0" borderId="0" xfId="0" applyAlignment="1">
      <alignment horizontal="left"/>
    </xf>
    <xf numFmtId="0" fontId="3" fillId="0" borderId="0" xfId="0" applyFont="1" applyAlignment="1">
      <alignment horizontal="left"/>
    </xf>
    <xf numFmtId="0" fontId="0" fillId="0" borderId="0" xfId="0" applyAlignment="1">
      <alignment vertical="top" wrapText="1"/>
    </xf>
    <xf numFmtId="0" fontId="1" fillId="0" borderId="0" xfId="0" applyFont="1"/>
    <xf numFmtId="0" fontId="6" fillId="0" borderId="0" xfId="1" applyFont="1" applyAlignment="1" applyProtection="1"/>
    <xf numFmtId="0" fontId="7" fillId="0" borderId="0" xfId="0" applyFont="1"/>
    <xf numFmtId="0" fontId="8" fillId="0" borderId="0" xfId="0" applyFont="1" applyAlignment="1">
      <alignment vertical="top" wrapText="1"/>
    </xf>
    <xf numFmtId="0" fontId="8" fillId="0" borderId="0" xfId="0" applyFont="1"/>
    <xf numFmtId="17" fontId="8" fillId="0" borderId="0" xfId="0" applyNumberFormat="1" applyFont="1" applyAlignment="1">
      <alignment horizontal="left" vertical="top" wrapText="1"/>
    </xf>
    <xf numFmtId="0" fontId="7" fillId="0" borderId="0" xfId="0" applyFont="1" applyAlignment="1">
      <alignment vertical="center" wrapText="1"/>
    </xf>
    <xf numFmtId="0" fontId="8" fillId="0" borderId="0" xfId="0" applyFont="1" applyAlignment="1">
      <alignment vertical="center" wrapText="1"/>
    </xf>
    <xf numFmtId="0" fontId="10" fillId="3" borderId="0" xfId="0" applyFont="1" applyFill="1" applyAlignment="1">
      <alignment horizontal="center" vertical="center"/>
    </xf>
    <xf numFmtId="0" fontId="9" fillId="2" borderId="0" xfId="0" applyFont="1" applyFill="1"/>
    <xf numFmtId="0" fontId="4" fillId="0" borderId="0" xfId="0" applyFont="1" applyAlignment="1">
      <alignment horizontal="center"/>
    </xf>
  </cellXfs>
  <cellStyles count="2">
    <cellStyle name="Hyperlink" xfId="1" builtinId="8"/>
    <cellStyle name="Normal" xfId="0" builtinId="0"/>
  </cellStyles>
  <dxfs count="27">
    <dxf>
      <numFmt numFmtId="165" formatCode="&quot;₹&quot;\ #,##0.00"/>
    </dxf>
    <dxf>
      <alignment horizontal="center"/>
    </dxf>
    <dxf>
      <alignment horizontal="center"/>
    </dxf>
    <dxf>
      <alignment horizontal="center"/>
    </dxf>
    <dxf>
      <numFmt numFmtId="165" formatCode="&quot;₹&quot;\ #,##0.00"/>
    </dxf>
    <dxf>
      <numFmt numFmtId="2" formatCode="0.00"/>
    </dxf>
    <dxf>
      <numFmt numFmtId="14" formatCode="0.00%"/>
    </dxf>
    <dxf>
      <numFmt numFmtId="165" formatCode="&quot;₹&quot;\ #,##0.00"/>
    </dxf>
    <dxf>
      <numFmt numFmtId="165" formatCode="&quot;₹&quot;\ #,##0.00"/>
    </dxf>
    <dxf>
      <numFmt numFmtId="0" formatCode="General"/>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[Retail_Sales_Dashboard_Aditya.xlsx]Pivots!PT_SalesByMonth</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Pivots!$B$9</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Pivots!$A$10:$A$30</c:f>
              <c:strCache>
                <c:ptCount val="20"/>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strCache>
            </c:strRef>
          </c:cat>
          <c:val>
            <c:numRef>
              <c:f>Pivots!$B$10:$B$30</c:f>
              <c:numCache>
                <c:formatCode>"₹"\ #,##0.00</c:formatCode>
                <c:ptCount val="20"/>
                <c:pt idx="0">
                  <c:v>599905.39</c:v>
                </c:pt>
                <c:pt idx="1">
                  <c:v>761728.8</c:v>
                </c:pt>
                <c:pt idx="2">
                  <c:v>279038.21999999997</c:v>
                </c:pt>
                <c:pt idx="3">
                  <c:v>1045480.0199999999</c:v>
                </c:pt>
                <c:pt idx="4">
                  <c:v>383992.72000000009</c:v>
                </c:pt>
                <c:pt idx="5">
                  <c:v>913185.83000000007</c:v>
                </c:pt>
                <c:pt idx="6">
                  <c:v>745486.87000000011</c:v>
                </c:pt>
                <c:pt idx="7">
                  <c:v>486740.6100000001</c:v>
                </c:pt>
                <c:pt idx="8">
                  <c:v>481479.00000000006</c:v>
                </c:pt>
                <c:pt idx="9">
                  <c:v>572395.96000000008</c:v>
                </c:pt>
                <c:pt idx="10">
                  <c:v>954450.29</c:v>
                </c:pt>
                <c:pt idx="11">
                  <c:v>655749.75</c:v>
                </c:pt>
                <c:pt idx="12">
                  <c:v>839199.6100000001</c:v>
                </c:pt>
                <c:pt idx="13">
                  <c:v>691576.1399999999</c:v>
                </c:pt>
                <c:pt idx="14">
                  <c:v>673445.11999999988</c:v>
                </c:pt>
                <c:pt idx="15">
                  <c:v>661175.71000000008</c:v>
                </c:pt>
                <c:pt idx="16">
                  <c:v>351154.07</c:v>
                </c:pt>
                <c:pt idx="17">
                  <c:v>776788.59</c:v>
                </c:pt>
                <c:pt idx="18">
                  <c:v>1074559.1299999999</c:v>
                </c:pt>
                <c:pt idx="19">
                  <c:v>648910.23</c:v>
                </c:pt>
              </c:numCache>
            </c:numRef>
          </c:val>
          <c:smooth val="0"/>
          <c:extLst>
            <c:ext xmlns:c16="http://schemas.microsoft.com/office/drawing/2014/chart" uri="{C3380CC4-5D6E-409C-BE32-E72D297353CC}">
              <c16:uniqueId val="{00000000-D85B-48AD-9C2F-DC8B68EF0EF3}"/>
            </c:ext>
          </c:extLst>
        </c:ser>
        <c:dLbls>
          <c:showLegendKey val="0"/>
          <c:showVal val="0"/>
          <c:showCatName val="0"/>
          <c:showSerName val="0"/>
          <c:showPercent val="0"/>
          <c:showBubbleSize val="0"/>
        </c:dLbls>
        <c:marker val="1"/>
        <c:smooth val="0"/>
        <c:axId val="1089733200"/>
        <c:axId val="1089733680"/>
      </c:lineChart>
      <c:catAx>
        <c:axId val="1089733200"/>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733680"/>
        <c:crosses val="autoZero"/>
        <c:auto val="1"/>
        <c:lblAlgn val="ctr"/>
        <c:lblOffset val="100"/>
        <c:noMultiLvlLbl val="0"/>
      </c:catAx>
      <c:valAx>
        <c:axId val="10897336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733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alpha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[Retail_Sales_Dashboard_Aditya.xlsx]Pivots!PT_SalesByRegion</c:name>
    <c:fmtId val="1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Sales &amp; Profit by Region</a:t>
            </a:r>
          </a:p>
        </c:rich>
      </c:tx>
      <c:layout>
        <c:manualLayout>
          <c:xMode val="edge"/>
          <c:yMode val="edge"/>
          <c:x val="0.40882553761925344"/>
          <c:y val="4.50877250302218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lumMod val="60000"/>
              <a:lumOff val="40000"/>
            </a:schemeClr>
          </a:solidFill>
          <a:ln>
            <a:noFill/>
          </a:ln>
          <a:effectLst/>
        </c:spPr>
        <c:marker>
          <c:symbol val="none"/>
        </c:marker>
        <c:dLbl>
          <c:idx val="0"/>
          <c:numFmt formatCode="&quot;₹&quot;\ #,##0.00" sourceLinked="0"/>
          <c:spPr>
            <a:noFill/>
            <a:ln>
              <a:noFill/>
            </a:ln>
            <a:effectLst/>
          </c:spPr>
          <c:txPr>
            <a:bodyPr rot="0" spcFirstLastPara="1" vertOverflow="ellipsis" vert="horz" wrap="square" anchor="ctr" anchorCtr="1"/>
            <a:lstStyle/>
            <a:p>
              <a:pPr>
                <a:defRPr sz="900" b="0" i="0" u="none" strike="noStrike" kern="1200" baseline="0">
                  <a:solidFill>
                    <a:schemeClr val="tx1">
                      <a:alpha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noFill/>
          </a:ln>
          <a:effectLst/>
        </c:spPr>
        <c:marker>
          <c:symbol val="none"/>
        </c:marker>
        <c:dLbl>
          <c:idx val="0"/>
          <c:spPr>
            <a:noFill/>
            <a:ln>
              <a:noFill/>
            </a:ln>
            <a:effectLst/>
          </c:spPr>
          <c:txPr>
            <a:bodyPr rot="0" spcFirstLastPara="1" vertOverflow="overflow" horzOverflow="overflow" vert="horz" wrap="square" anchor="ctr" anchorCtr="1">
              <a:noAutofit/>
            </a:bodyPr>
            <a:lstStyle/>
            <a:p>
              <a:pPr>
                <a:defRPr sz="900" b="0" i="0" u="none" strike="noStrike" kern="1200" baseline="0">
                  <a:solidFill>
                    <a:schemeClr val="tx1">
                      <a:alpha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dLbl>
          <c:idx val="0"/>
          <c:spPr>
            <a:noFill/>
            <a:ln>
              <a:noFill/>
            </a:ln>
            <a:effectLst/>
          </c:spPr>
          <c:txPr>
            <a:bodyPr rot="0" spcFirstLastPara="1" vertOverflow="overflow" horzOverflow="overflow" vert="horz" wrap="square" anchor="ctr" anchorCtr="1">
              <a:noAutofit/>
            </a:bodyPr>
            <a:lstStyle/>
            <a:p>
              <a:pPr>
                <a:defRPr sz="900" b="0" i="0" u="none" strike="noStrike" kern="1200" baseline="0">
                  <a:solidFill>
                    <a:schemeClr val="tx1">
                      <a:alpha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104820877103966"/>
                  <c:h val="6.4476898893862336E-2"/>
                </c:manualLayout>
              </c15:layout>
            </c:ext>
          </c:extLst>
        </c:dLbl>
      </c:pivotFmt>
      <c:pivotFmt>
        <c:idx val="3"/>
        <c:spPr>
          <a:solidFill>
            <a:schemeClr val="accent3">
              <a:lumMod val="60000"/>
              <a:lumOff val="40000"/>
            </a:schemeClr>
          </a:solidFill>
          <a:ln>
            <a:noFill/>
          </a:ln>
          <a:effectLst/>
        </c:spPr>
        <c:dLbl>
          <c:idx val="0"/>
          <c:spPr>
            <a:noFill/>
            <a:ln>
              <a:noFill/>
            </a:ln>
            <a:effectLst/>
          </c:spPr>
          <c:txPr>
            <a:bodyPr rot="0" spcFirstLastPara="1" vertOverflow="overflow" horzOverflow="overflow" vert="horz" wrap="square" anchor="ctr" anchorCtr="1">
              <a:noAutofit/>
            </a:bodyPr>
            <a:lstStyle/>
            <a:p>
              <a:pPr>
                <a:defRPr sz="900" b="0" i="0" u="none" strike="noStrike" kern="1200" baseline="0">
                  <a:solidFill>
                    <a:schemeClr val="tx1">
                      <a:alpha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104820877103966"/>
                  <c:h val="6.4476898893862336E-2"/>
                </c:manualLayout>
              </c15:layout>
            </c:ext>
          </c:extLst>
        </c:dLbl>
      </c:pivotFmt>
      <c:pivotFmt>
        <c:idx val="4"/>
        <c:spPr>
          <a:solidFill>
            <a:schemeClr val="accent3">
              <a:lumMod val="60000"/>
              <a:lumOff val="40000"/>
            </a:schemeClr>
          </a:solidFill>
          <a:ln>
            <a:noFill/>
          </a:ln>
          <a:effectLst/>
        </c:spPr>
        <c:dLbl>
          <c:idx val="0"/>
          <c:spPr>
            <a:noFill/>
            <a:ln>
              <a:noFill/>
            </a:ln>
            <a:effectLst/>
          </c:spPr>
          <c:txPr>
            <a:bodyPr rot="0" spcFirstLastPara="1" vertOverflow="overflow" horzOverflow="overflow" vert="horz" wrap="square" anchor="ctr" anchorCtr="1">
              <a:noAutofit/>
            </a:bodyPr>
            <a:lstStyle/>
            <a:p>
              <a:pPr>
                <a:defRPr sz="900" b="0" i="0" u="none" strike="noStrike" kern="1200" baseline="0">
                  <a:solidFill>
                    <a:schemeClr val="tx1">
                      <a:alpha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104820877103966"/>
                  <c:h val="6.4476898893862336E-2"/>
                </c:manualLayout>
              </c15:layout>
            </c:ext>
          </c:extLst>
        </c:dLbl>
      </c:pivotFmt>
      <c:pivotFmt>
        <c:idx val="5"/>
        <c:spPr>
          <a:solidFill>
            <a:schemeClr val="accent3">
              <a:lumMod val="60000"/>
              <a:lumOff val="40000"/>
            </a:schemeClr>
          </a:solidFill>
          <a:ln>
            <a:noFill/>
          </a:ln>
          <a:effectLst/>
        </c:spPr>
        <c:dLbl>
          <c:idx val="0"/>
          <c:spPr>
            <a:noFill/>
            <a:ln>
              <a:noFill/>
            </a:ln>
            <a:effectLst/>
          </c:spPr>
          <c:txPr>
            <a:bodyPr rot="0" spcFirstLastPara="1" vertOverflow="overflow" horzOverflow="overflow" vert="horz" wrap="square" anchor="ctr" anchorCtr="1">
              <a:noAutofit/>
            </a:bodyPr>
            <a:lstStyle/>
            <a:p>
              <a:pPr>
                <a:defRPr sz="900" b="0" i="0" u="none" strike="noStrike" kern="1200" baseline="0">
                  <a:solidFill>
                    <a:schemeClr val="tx1">
                      <a:alpha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104820877103966"/>
                  <c:h val="6.4476898893862336E-2"/>
                </c:manualLayout>
              </c15:layout>
            </c:ext>
          </c:extLst>
        </c:dLbl>
      </c:pivotFmt>
      <c:pivotFmt>
        <c:idx val="6"/>
        <c:spPr>
          <a:solidFill>
            <a:schemeClr val="accent3">
              <a:lumMod val="60000"/>
              <a:lumOff val="40000"/>
            </a:schemeClr>
          </a:solidFill>
          <a:ln>
            <a:noFill/>
          </a:ln>
          <a:effectLst/>
        </c:spPr>
        <c:dLbl>
          <c:idx val="0"/>
          <c:spPr>
            <a:noFill/>
            <a:ln>
              <a:noFill/>
            </a:ln>
            <a:effectLst/>
          </c:spPr>
          <c:txPr>
            <a:bodyPr rot="0" spcFirstLastPara="1" vertOverflow="overflow" horzOverflow="overflow" vert="horz" wrap="square" anchor="ctr" anchorCtr="1">
              <a:noAutofit/>
            </a:bodyPr>
            <a:lstStyle/>
            <a:p>
              <a:pPr>
                <a:defRPr sz="900" b="0" i="0" u="none" strike="noStrike" kern="1200" baseline="0">
                  <a:solidFill>
                    <a:schemeClr val="tx1">
                      <a:alpha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104820877103966"/>
                  <c:h val="6.4476898893862336E-2"/>
                </c:manualLayout>
              </c15:layout>
            </c:ext>
          </c:extLst>
        </c:dLbl>
      </c:pivotFmt>
      <c:pivotFmt>
        <c:idx val="7"/>
        <c:spPr>
          <a:solidFill>
            <a:schemeClr val="accent5">
              <a:lumMod val="60000"/>
              <a:lumOff val="40000"/>
            </a:schemeClr>
          </a:solidFill>
          <a:ln>
            <a:noFill/>
          </a:ln>
          <a:effectLst/>
        </c:spPr>
        <c:marker>
          <c:symbol val="none"/>
        </c:marker>
        <c:dLbl>
          <c:idx val="0"/>
          <c:numFmt formatCode="&quot;₹&quot;\ #,##0.00" sourceLinked="0"/>
          <c:spPr>
            <a:noFill/>
            <a:ln>
              <a:noFill/>
            </a:ln>
            <a:effectLst/>
          </c:spPr>
          <c:txPr>
            <a:bodyPr rot="0" spcFirstLastPara="1" vertOverflow="ellipsis" vert="horz" wrap="square" anchor="ctr" anchorCtr="1"/>
            <a:lstStyle/>
            <a:p>
              <a:pPr>
                <a:defRPr sz="900" b="0" i="0" u="none" strike="noStrike" kern="1200" baseline="0">
                  <a:solidFill>
                    <a:schemeClr val="tx1">
                      <a:alpha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60000"/>
              <a:lumOff val="40000"/>
            </a:schemeClr>
          </a:solidFill>
          <a:ln>
            <a:noFill/>
          </a:ln>
          <a:effectLst/>
        </c:spPr>
        <c:marker>
          <c:symbol val="none"/>
        </c:marker>
        <c:dLbl>
          <c:idx val="0"/>
          <c:spPr>
            <a:noFill/>
            <a:ln>
              <a:noFill/>
            </a:ln>
            <a:effectLst/>
          </c:spPr>
          <c:txPr>
            <a:bodyPr rot="0" spcFirstLastPara="1" vertOverflow="overflow" horzOverflow="overflow" vert="horz" wrap="square" anchor="ctr" anchorCtr="1">
              <a:spAutoFit/>
            </a:bodyPr>
            <a:lstStyle/>
            <a:p>
              <a:pPr>
                <a:defRPr sz="900" b="0" i="0" u="none" strike="noStrike" kern="1200" baseline="0">
                  <a:solidFill>
                    <a:schemeClr val="tx1">
                      <a:alpha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60000"/>
              <a:lumOff val="40000"/>
            </a:schemeClr>
          </a:solidFill>
          <a:ln>
            <a:noFill/>
          </a:ln>
          <a:effectLst/>
        </c:spPr>
      </c:pivotFmt>
      <c:pivotFmt>
        <c:idx val="10"/>
        <c:spPr>
          <a:solidFill>
            <a:schemeClr val="accent3">
              <a:lumMod val="60000"/>
              <a:lumOff val="40000"/>
            </a:schemeClr>
          </a:solidFill>
          <a:ln>
            <a:noFill/>
          </a:ln>
          <a:effectLst/>
        </c:spPr>
      </c:pivotFmt>
      <c:pivotFmt>
        <c:idx val="11"/>
        <c:spPr>
          <a:solidFill>
            <a:schemeClr val="accent3">
              <a:lumMod val="60000"/>
              <a:lumOff val="40000"/>
            </a:schemeClr>
          </a:solidFill>
          <a:ln>
            <a:noFill/>
          </a:ln>
          <a:effectLst/>
        </c:spPr>
      </c:pivotFmt>
      <c:pivotFmt>
        <c:idx val="12"/>
        <c:spPr>
          <a:solidFill>
            <a:schemeClr val="accent3">
              <a:lumMod val="60000"/>
              <a:lumOff val="40000"/>
            </a:schemeClr>
          </a:solidFill>
          <a:ln>
            <a:noFill/>
          </a:ln>
          <a:effectLst/>
        </c:spPr>
      </c:pivotFmt>
      <c:pivotFmt>
        <c:idx val="13"/>
        <c:spPr>
          <a:solidFill>
            <a:schemeClr val="accent3">
              <a:lumMod val="60000"/>
              <a:lumOff val="40000"/>
            </a:schemeClr>
          </a:solidFill>
          <a:ln>
            <a:noFill/>
          </a:ln>
          <a:effectLst/>
        </c:spPr>
      </c:pivotFmt>
    </c:pivotFmts>
    <c:plotArea>
      <c:layout/>
      <c:barChart>
        <c:barDir val="bar"/>
        <c:grouping val="clustered"/>
        <c:varyColors val="0"/>
        <c:ser>
          <c:idx val="0"/>
          <c:order val="0"/>
          <c:tx>
            <c:strRef>
              <c:f>Pivots!$B$35</c:f>
              <c:strCache>
                <c:ptCount val="1"/>
                <c:pt idx="0">
                  <c:v>Total Sales</c:v>
                </c:pt>
              </c:strCache>
            </c:strRef>
          </c:tx>
          <c:spPr>
            <a:solidFill>
              <a:schemeClr val="accent5">
                <a:lumMod val="60000"/>
                <a:lumOff val="40000"/>
              </a:schemeClr>
            </a:solidFill>
            <a:ln>
              <a:noFill/>
            </a:ln>
            <a:effectLst/>
          </c:spPr>
          <c:invertIfNegative val="0"/>
          <c:dLbls>
            <c:numFmt formatCode="&quot;₹&quot;\ #,##0.00" sourceLinked="0"/>
            <c:spPr>
              <a:noFill/>
              <a:ln>
                <a:noFill/>
              </a:ln>
              <a:effectLst/>
            </c:spPr>
            <c:txPr>
              <a:bodyPr rot="0" spcFirstLastPara="1" vertOverflow="ellipsis" vert="horz" wrap="square" anchor="ctr" anchorCtr="1"/>
              <a:lstStyle/>
              <a:p>
                <a:pPr>
                  <a:defRPr sz="900" b="0" i="0" u="none" strike="noStrike" kern="1200" baseline="0">
                    <a:solidFill>
                      <a:schemeClr val="tx1">
                        <a:alpha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Pivots!$A$36:$A$41</c:f>
              <c:strCache>
                <c:ptCount val="5"/>
                <c:pt idx="0">
                  <c:v>Central</c:v>
                </c:pt>
                <c:pt idx="1">
                  <c:v>East</c:v>
                </c:pt>
                <c:pt idx="2">
                  <c:v>North</c:v>
                </c:pt>
                <c:pt idx="3">
                  <c:v>South</c:v>
                </c:pt>
                <c:pt idx="4">
                  <c:v>West</c:v>
                </c:pt>
              </c:strCache>
            </c:strRef>
          </c:cat>
          <c:val>
            <c:numRef>
              <c:f>Pivots!$B$36:$B$41</c:f>
              <c:numCache>
                <c:formatCode>"₹"\ #,##0.00</c:formatCode>
                <c:ptCount val="5"/>
                <c:pt idx="0">
                  <c:v>2831458.3299999996</c:v>
                </c:pt>
                <c:pt idx="1">
                  <c:v>2962417.2699999991</c:v>
                </c:pt>
                <c:pt idx="2">
                  <c:v>3030204.0999999992</c:v>
                </c:pt>
                <c:pt idx="3">
                  <c:v>1925323.9099999997</c:v>
                </c:pt>
                <c:pt idx="4">
                  <c:v>2847038.45</c:v>
                </c:pt>
              </c:numCache>
            </c:numRef>
          </c:val>
          <c:extLst>
            <c:ext xmlns:c16="http://schemas.microsoft.com/office/drawing/2014/chart" uri="{C3380CC4-5D6E-409C-BE32-E72D297353CC}">
              <c16:uniqueId val="{00000000-C78A-45F0-B1EE-7694D9160A51}"/>
            </c:ext>
          </c:extLst>
        </c:ser>
        <c:ser>
          <c:idx val="1"/>
          <c:order val="1"/>
          <c:tx>
            <c:strRef>
              <c:f>Pivots!$C$35</c:f>
              <c:strCache>
                <c:ptCount val="1"/>
                <c:pt idx="0">
                  <c:v>Total Profit</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overflow" horzOverflow="overflow" vert="horz" wrap="square" anchor="ctr" anchorCtr="1">
                <a:spAutoFit/>
              </a:bodyPr>
              <a:lstStyle/>
              <a:p>
                <a:pPr>
                  <a:defRPr sz="900" b="0" i="0" u="none" strike="noStrike" kern="1200" baseline="0">
                    <a:solidFill>
                      <a:schemeClr val="tx1">
                        <a:alpha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Pivots!$A$36:$A$41</c:f>
              <c:strCache>
                <c:ptCount val="5"/>
                <c:pt idx="0">
                  <c:v>Central</c:v>
                </c:pt>
                <c:pt idx="1">
                  <c:v>East</c:v>
                </c:pt>
                <c:pt idx="2">
                  <c:v>North</c:v>
                </c:pt>
                <c:pt idx="3">
                  <c:v>South</c:v>
                </c:pt>
                <c:pt idx="4">
                  <c:v>West</c:v>
                </c:pt>
              </c:strCache>
            </c:strRef>
          </c:cat>
          <c:val>
            <c:numRef>
              <c:f>Pivots!$C$36:$C$41</c:f>
              <c:numCache>
                <c:formatCode>"₹"\ #,##0.00</c:formatCode>
                <c:ptCount val="5"/>
                <c:pt idx="0">
                  <c:v>644986.42000000027</c:v>
                </c:pt>
                <c:pt idx="1">
                  <c:v>633536.46999999974</c:v>
                </c:pt>
                <c:pt idx="2">
                  <c:v>511019.75000000006</c:v>
                </c:pt>
                <c:pt idx="3">
                  <c:v>432431.13000000006</c:v>
                </c:pt>
                <c:pt idx="4">
                  <c:v>545508.20000000007</c:v>
                </c:pt>
              </c:numCache>
            </c:numRef>
          </c:val>
          <c:extLst>
            <c:ext xmlns:c16="http://schemas.microsoft.com/office/drawing/2014/chart" uri="{C3380CC4-5D6E-409C-BE32-E72D297353CC}">
              <c16:uniqueId val="{00000006-C78A-45F0-B1EE-7694D9160A51}"/>
            </c:ext>
          </c:extLst>
        </c:ser>
        <c:dLbls>
          <c:dLblPos val="outEnd"/>
          <c:showLegendKey val="0"/>
          <c:showVal val="1"/>
          <c:showCatName val="0"/>
          <c:showSerName val="0"/>
          <c:showPercent val="0"/>
          <c:showBubbleSize val="0"/>
        </c:dLbls>
        <c:gapWidth val="182"/>
        <c:axId val="133125231"/>
        <c:axId val="133125711"/>
      </c:barChart>
      <c:catAx>
        <c:axId val="133125231"/>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alpha val="75000"/>
                  </a:schemeClr>
                </a:solidFill>
                <a:latin typeface="+mn-lt"/>
                <a:ea typeface="+mn-ea"/>
                <a:cs typeface="+mn-cs"/>
              </a:defRPr>
            </a:pPr>
            <a:endParaRPr lang="en-US"/>
          </a:p>
        </c:txPr>
        <c:crossAx val="133125711"/>
        <c:crosses val="autoZero"/>
        <c:auto val="1"/>
        <c:lblAlgn val="ctr"/>
        <c:lblOffset val="100"/>
        <c:noMultiLvlLbl val="0"/>
      </c:catAx>
      <c:valAx>
        <c:axId val="133125711"/>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solidFill>
              <a:schemeClr val="tx1"/>
            </a:solidFill>
          </a:ln>
          <a:effectLst/>
        </c:spPr>
        <c:txPr>
          <a:bodyPr rot="-2700000" spcFirstLastPara="1" vertOverflow="ellipsis" wrap="square" anchor="ctr" anchorCtr="1"/>
          <a:lstStyle/>
          <a:p>
            <a:pPr>
              <a:defRPr sz="900" b="0" i="0" u="none" strike="noStrike" kern="1200" baseline="0">
                <a:solidFill>
                  <a:schemeClr val="tx1">
                    <a:alpha val="75000"/>
                  </a:schemeClr>
                </a:solidFill>
                <a:latin typeface="+mn-lt"/>
                <a:ea typeface="+mn-ea"/>
                <a:cs typeface="+mn-cs"/>
              </a:defRPr>
            </a:pPr>
            <a:endParaRPr lang="en-US"/>
          </a:p>
        </c:txPr>
        <c:crossAx val="133125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alpha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alpha val="75000"/>
        </a:schemeClr>
      </a:solidFill>
      <a:round/>
    </a:ln>
    <a:effectLst/>
  </c:spPr>
  <c:txPr>
    <a:bodyPr/>
    <a:lstStyle/>
    <a:p>
      <a:pPr>
        <a:defRPr>
          <a:solidFill>
            <a:schemeClr val="tx1">
              <a:alpha val="43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[Retail_Sales_Dashboard_Aditya.xlsx]Pivots!PT_CategoryShare</c:name>
    <c:fmtId val="5"/>
  </c:pivotSource>
  <c:chart>
    <c:title>
      <c:tx>
        <c:rich>
          <a:bodyPr rot="0" spcFirstLastPara="1" vertOverflow="ellipsis" vert="horz" wrap="square" anchor="ctr" anchorCtr="1"/>
          <a:lstStyle/>
          <a:p>
            <a:pPr>
              <a:defRPr sz="1200" b="1" i="0" u="none" strike="noStrike" kern="1200" cap="all" spc="150" baseline="0">
                <a:solidFill>
                  <a:schemeClr val="tx1">
                    <a:lumMod val="75000"/>
                    <a:lumOff val="25000"/>
                  </a:schemeClr>
                </a:solidFill>
                <a:latin typeface="+mn-lt"/>
                <a:ea typeface="+mn-ea"/>
                <a:cs typeface="+mn-cs"/>
              </a:defRPr>
            </a:pPr>
            <a:r>
              <a:rPr lang="en-IN" sz="1200" b="1" i="0" u="none" strike="noStrike" cap="all" baseline="0">
                <a:solidFill>
                  <a:schemeClr val="tx1">
                    <a:lumMod val="75000"/>
                    <a:lumOff val="25000"/>
                  </a:schemeClr>
                </a:solidFill>
              </a:rPr>
              <a:t>Category Share of Total Sales (2024–2025)</a:t>
            </a:r>
            <a:endParaRPr lang="en-US" sz="1200" b="1">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200" b="1" i="0" u="none" strike="noStrike" kern="1200" cap="all" spc="150" baseline="0">
              <a:solidFill>
                <a:schemeClr val="tx1">
                  <a:lumMod val="75000"/>
                  <a:lumOff val="25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lumMod val="60000"/>
              <a:lumOff val="40000"/>
            </a:schemeClr>
          </a:solidFill>
          <a:ln w="19050">
            <a:solidFill>
              <a:schemeClr val="lt1"/>
            </a:solidFill>
          </a:ln>
          <a:effectLst>
            <a:innerShdw blurRad="114300">
              <a:schemeClr val="accent1"/>
            </a:innerShdw>
          </a:effectLst>
        </c:spPr>
        <c:dLbl>
          <c:idx val="0"/>
          <c:layout>
            <c:manualLayout>
              <c:x val="0.13055555555555545"/>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lumMod val="60000"/>
              <a:lumOff val="40000"/>
            </a:schemeClr>
          </a:solidFill>
          <a:ln w="19050">
            <a:solidFill>
              <a:schemeClr val="lt1"/>
            </a:solidFill>
          </a:ln>
          <a:effectLst>
            <a:innerShdw blurRad="114300">
              <a:schemeClr val="accent1"/>
            </a:innerShdw>
          </a:effectLst>
        </c:spPr>
        <c:dLbl>
          <c:idx val="0"/>
          <c:layout>
            <c:manualLayout>
              <c:x val="0.15"/>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3">
              <a:lumMod val="60000"/>
              <a:lumOff val="40000"/>
            </a:schemeClr>
          </a:solidFill>
          <a:ln w="19050">
            <a:solidFill>
              <a:schemeClr val="lt1"/>
            </a:solidFill>
          </a:ln>
          <a:effectLst>
            <a:innerShdw blurRad="114300">
              <a:schemeClr val="accent1"/>
            </a:innerShdw>
          </a:effectLst>
        </c:spPr>
        <c:dLbl>
          <c:idx val="0"/>
          <c:layout>
            <c:manualLayout>
              <c:x val="-0.1388888888888889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5">
              <a:lumMod val="60000"/>
              <a:lumOff val="40000"/>
            </a:schemeClr>
          </a:solidFill>
          <a:ln w="19050">
            <a:solidFill>
              <a:schemeClr val="lt1"/>
            </a:solidFill>
          </a:ln>
          <a:effectLst>
            <a:innerShdw blurRad="114300">
              <a:schemeClr val="accent1"/>
            </a:innerShdw>
          </a:effectLst>
        </c:spPr>
        <c:dLbl>
          <c:idx val="0"/>
          <c:layout>
            <c:manualLayout>
              <c:x val="0.19255098039215671"/>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a:innerShdw blurRad="114300">
              <a:schemeClr val="accent1"/>
            </a:innerShdw>
          </a:effectLst>
        </c:spPr>
        <c:dLbl>
          <c:idx val="0"/>
          <c:layout>
            <c:manualLayout>
              <c:x val="0.16393790849673204"/>
              <c:y val="3.4528800990838473E-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601928104575164"/>
                  <c:h val="0.15766851867645582"/>
                </c:manualLayout>
              </c15:layout>
            </c:ext>
          </c:extLst>
        </c:dLbl>
      </c:pivotFmt>
      <c:pivotFmt>
        <c:idx val="7"/>
        <c:spPr>
          <a:solidFill>
            <a:schemeClr val="accent3">
              <a:lumMod val="60000"/>
              <a:lumOff val="40000"/>
            </a:schemeClr>
          </a:solidFill>
          <a:ln w="19050">
            <a:solidFill>
              <a:schemeClr val="lt1"/>
            </a:solidFill>
          </a:ln>
          <a:effectLst>
            <a:innerShdw blurRad="114300">
              <a:schemeClr val="accent1"/>
            </a:innerShdw>
          </a:effectLst>
        </c:spPr>
        <c:dLbl>
          <c:idx val="0"/>
          <c:layout>
            <c:manualLayout>
              <c:x val="-0.17162124183006536"/>
              <c:y val="3.727401331361500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202973856209149"/>
                  <c:h val="0.12697241459560038"/>
                </c:manualLayout>
              </c15:layout>
            </c:ext>
          </c:extLst>
        </c:dLbl>
      </c:pivotFmt>
    </c:pivotFmts>
    <c:plotArea>
      <c:layout/>
      <c:doughnutChart>
        <c:varyColors val="1"/>
        <c:ser>
          <c:idx val="0"/>
          <c:order val="0"/>
          <c:tx>
            <c:strRef>
              <c:f>Pivots!$B$46</c:f>
              <c:strCache>
                <c:ptCount val="1"/>
                <c:pt idx="0">
                  <c:v>Total</c:v>
                </c:pt>
              </c:strCache>
            </c:strRef>
          </c:tx>
          <c:dPt>
            <c:idx val="0"/>
            <c:bubble3D val="0"/>
            <c:spPr>
              <a:solidFill>
                <a:schemeClr val="accent5">
                  <a:lumMod val="60000"/>
                  <a:lumOff val="40000"/>
                </a:schemeClr>
              </a:solidFill>
              <a:ln w="19050">
                <a:solidFill>
                  <a:schemeClr val="lt1"/>
                </a:solidFill>
              </a:ln>
              <a:effectLst>
                <a:innerShdw blurRad="114300">
                  <a:schemeClr val="accent1"/>
                </a:innerShdw>
              </a:effectLst>
            </c:spPr>
            <c:extLst>
              <c:ext xmlns:c16="http://schemas.microsoft.com/office/drawing/2014/chart" uri="{C3380CC4-5D6E-409C-BE32-E72D297353CC}">
                <c16:uniqueId val="{00000001-3313-4FF9-83EE-5A4B99306649}"/>
              </c:ext>
            </c:extLst>
          </c:dPt>
          <c:dPt>
            <c:idx val="1"/>
            <c:bubble3D val="0"/>
            <c:spPr>
              <a:solidFill>
                <a:schemeClr val="accent6">
                  <a:lumMod val="60000"/>
                  <a:lumOff val="40000"/>
                </a:schemeClr>
              </a:solidFill>
              <a:ln w="19050">
                <a:solidFill>
                  <a:schemeClr val="lt1"/>
                </a:solidFill>
              </a:ln>
              <a:effectLst>
                <a:innerShdw blurRad="114300">
                  <a:schemeClr val="accent2"/>
                </a:innerShdw>
              </a:effectLst>
            </c:spPr>
            <c:extLst>
              <c:ext xmlns:c16="http://schemas.microsoft.com/office/drawing/2014/chart" uri="{C3380CC4-5D6E-409C-BE32-E72D297353CC}">
                <c16:uniqueId val="{00000003-3313-4FF9-83EE-5A4B99306649}"/>
              </c:ext>
            </c:extLst>
          </c:dPt>
          <c:dPt>
            <c:idx val="2"/>
            <c:bubble3D val="0"/>
            <c:spPr>
              <a:solidFill>
                <a:schemeClr val="accent3">
                  <a:lumMod val="60000"/>
                  <a:lumOff val="40000"/>
                </a:schemeClr>
              </a:solidFill>
              <a:ln w="19050">
                <a:solidFill>
                  <a:schemeClr val="lt1"/>
                </a:solidFill>
              </a:ln>
              <a:effectLst>
                <a:innerShdw blurRad="114300">
                  <a:schemeClr val="accent3"/>
                </a:innerShdw>
              </a:effectLst>
            </c:spPr>
            <c:extLst>
              <c:ext xmlns:c16="http://schemas.microsoft.com/office/drawing/2014/chart" uri="{C3380CC4-5D6E-409C-BE32-E72D297353CC}">
                <c16:uniqueId val="{00000005-3313-4FF9-83EE-5A4B99306649}"/>
              </c:ext>
            </c:extLst>
          </c:dPt>
          <c:dLbls>
            <c:dLbl>
              <c:idx val="0"/>
              <c:layout>
                <c:manualLayout>
                  <c:x val="0.19255098039215671"/>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313-4FF9-83EE-5A4B99306649}"/>
                </c:ext>
              </c:extLst>
            </c:dLbl>
            <c:dLbl>
              <c:idx val="1"/>
              <c:layout>
                <c:manualLayout>
                  <c:x val="0.16393790849673204"/>
                  <c:y val="3.4528800990838473E-7"/>
                </c:manualLayout>
              </c:layout>
              <c:showLegendKey val="0"/>
              <c:showVal val="0"/>
              <c:showCatName val="1"/>
              <c:showSerName val="0"/>
              <c:showPercent val="1"/>
              <c:showBubbleSize val="0"/>
              <c:extLst>
                <c:ext xmlns:c15="http://schemas.microsoft.com/office/drawing/2012/chart" uri="{CE6537A1-D6FC-4f65-9D91-7224C49458BB}">
                  <c15:layout>
                    <c:manualLayout>
                      <c:w val="0.16601928104575164"/>
                      <c:h val="0.15766851867645582"/>
                    </c:manualLayout>
                  </c15:layout>
                </c:ext>
                <c:ext xmlns:c16="http://schemas.microsoft.com/office/drawing/2014/chart" uri="{C3380CC4-5D6E-409C-BE32-E72D297353CC}">
                  <c16:uniqueId val="{00000003-3313-4FF9-83EE-5A4B99306649}"/>
                </c:ext>
              </c:extLst>
            </c:dLbl>
            <c:dLbl>
              <c:idx val="2"/>
              <c:layout>
                <c:manualLayout>
                  <c:x val="-0.17162124183006536"/>
                  <c:y val="3.727401331361500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202973856209149"/>
                      <c:h val="0.12697241459560038"/>
                    </c:manualLayout>
                  </c15:layout>
                </c:ext>
                <c:ext xmlns:c16="http://schemas.microsoft.com/office/drawing/2014/chart" uri="{C3380CC4-5D6E-409C-BE32-E72D297353CC}">
                  <c16:uniqueId val="{00000005-3313-4FF9-83EE-5A4B9930664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15875">
                  <a:solidFill>
                    <a:schemeClr val="tx1">
                      <a:alpha val="40000"/>
                    </a:schemeClr>
                  </a:solidFill>
                  <a:tailEnd type="triangle"/>
                </a:ln>
                <a:effectLst/>
              </c:spPr>
            </c:leaderLines>
            <c:extLst>
              <c:ext xmlns:c15="http://schemas.microsoft.com/office/drawing/2012/chart" uri="{CE6537A1-D6FC-4f65-9D91-7224C49458BB}"/>
            </c:extLst>
          </c:dLbls>
          <c:cat>
            <c:strRef>
              <c:f>Pivots!$A$47:$A$50</c:f>
              <c:strCache>
                <c:ptCount val="3"/>
                <c:pt idx="0">
                  <c:v>Furniture</c:v>
                </c:pt>
                <c:pt idx="1">
                  <c:v>Office Supplies</c:v>
                </c:pt>
                <c:pt idx="2">
                  <c:v>Technology</c:v>
                </c:pt>
              </c:strCache>
            </c:strRef>
          </c:cat>
          <c:val>
            <c:numRef>
              <c:f>Pivots!$B$47:$B$50</c:f>
              <c:numCache>
                <c:formatCode>"₹"\ #,##0.00</c:formatCode>
                <c:ptCount val="3"/>
                <c:pt idx="0">
                  <c:v>3759111.3599999975</c:v>
                </c:pt>
                <c:pt idx="1">
                  <c:v>229502.40999999989</c:v>
                </c:pt>
                <c:pt idx="2">
                  <c:v>9607828.2899999972</c:v>
                </c:pt>
              </c:numCache>
            </c:numRef>
          </c:val>
          <c:extLst>
            <c:ext xmlns:c16="http://schemas.microsoft.com/office/drawing/2014/chart" uri="{C3380CC4-5D6E-409C-BE32-E72D297353CC}">
              <c16:uniqueId val="{00000006-3313-4FF9-83EE-5A4B99306649}"/>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alpha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[Retail_Sales_Dashboard_Aditya.xlsx]Pivots!PT_TopProducts</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Pivots!$B$61</c:f>
              <c:strCache>
                <c:ptCount val="1"/>
                <c:pt idx="0">
                  <c:v>Total</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Pivots!$A$62:$A$72</c:f>
              <c:strCache>
                <c:ptCount val="10"/>
                <c:pt idx="0">
                  <c:v>Headset</c:v>
                </c:pt>
                <c:pt idx="1">
                  <c:v>Monitor</c:v>
                </c:pt>
                <c:pt idx="2">
                  <c:v>Printer</c:v>
                </c:pt>
                <c:pt idx="3">
                  <c:v>Router</c:v>
                </c:pt>
                <c:pt idx="4">
                  <c:v>Laptop</c:v>
                </c:pt>
                <c:pt idx="5">
                  <c:v>Table</c:v>
                </c:pt>
                <c:pt idx="6">
                  <c:v>Bookcase</c:v>
                </c:pt>
                <c:pt idx="7">
                  <c:v>Cabinet</c:v>
                </c:pt>
                <c:pt idx="8">
                  <c:v>Desk</c:v>
                </c:pt>
                <c:pt idx="9">
                  <c:v>Chair</c:v>
                </c:pt>
              </c:strCache>
            </c:strRef>
          </c:cat>
          <c:val>
            <c:numRef>
              <c:f>Pivots!$B$62:$B$72</c:f>
              <c:numCache>
                <c:formatCode>"₹"\ #,##0.00</c:formatCode>
                <c:ptCount val="10"/>
                <c:pt idx="0">
                  <c:v>2599107.9000000008</c:v>
                </c:pt>
                <c:pt idx="1">
                  <c:v>2490104.75</c:v>
                </c:pt>
                <c:pt idx="2">
                  <c:v>1645392.8799999997</c:v>
                </c:pt>
                <c:pt idx="3">
                  <c:v>1592891.9800000002</c:v>
                </c:pt>
                <c:pt idx="4">
                  <c:v>1280330.78</c:v>
                </c:pt>
                <c:pt idx="5">
                  <c:v>1065189.81</c:v>
                </c:pt>
                <c:pt idx="6">
                  <c:v>729556.85999999975</c:v>
                </c:pt>
                <c:pt idx="7">
                  <c:v>715290.99000000011</c:v>
                </c:pt>
                <c:pt idx="8">
                  <c:v>633516.64999999991</c:v>
                </c:pt>
                <c:pt idx="9">
                  <c:v>615557.05000000005</c:v>
                </c:pt>
              </c:numCache>
            </c:numRef>
          </c:val>
          <c:extLst>
            <c:ext xmlns:c16="http://schemas.microsoft.com/office/drawing/2014/chart" uri="{C3380CC4-5D6E-409C-BE32-E72D297353CC}">
              <c16:uniqueId val="{00000000-3C5A-4F06-96E8-1C8568AC6EA7}"/>
            </c:ext>
          </c:extLst>
        </c:ser>
        <c:dLbls>
          <c:dLblPos val="outEnd"/>
          <c:showLegendKey val="0"/>
          <c:showVal val="1"/>
          <c:showCatName val="0"/>
          <c:showSerName val="0"/>
          <c:showPercent val="0"/>
          <c:showBubbleSize val="0"/>
        </c:dLbls>
        <c:gapWidth val="182"/>
        <c:axId val="950628175"/>
        <c:axId val="950629615"/>
      </c:barChart>
      <c:catAx>
        <c:axId val="950628175"/>
        <c:scaling>
          <c:orientation val="maxMin"/>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alpha val="75000"/>
                  </a:schemeClr>
                </a:solidFill>
                <a:latin typeface="+mn-lt"/>
                <a:ea typeface="+mn-ea"/>
                <a:cs typeface="+mn-cs"/>
              </a:defRPr>
            </a:pPr>
            <a:endParaRPr lang="en-US"/>
          </a:p>
        </c:txPr>
        <c:crossAx val="950629615"/>
        <c:crosses val="autoZero"/>
        <c:auto val="1"/>
        <c:lblAlgn val="ctr"/>
        <c:lblOffset val="100"/>
        <c:noMultiLvlLbl val="0"/>
      </c:catAx>
      <c:valAx>
        <c:axId val="950629615"/>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alpha val="75000"/>
                  </a:schemeClr>
                </a:solidFill>
                <a:latin typeface="+mn-lt"/>
                <a:ea typeface="+mn-ea"/>
                <a:cs typeface="+mn-cs"/>
              </a:defRPr>
            </a:pPr>
            <a:endParaRPr lang="en-US"/>
          </a:p>
        </c:txPr>
        <c:crossAx val="950628175"/>
        <c:crosses val="max"/>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alpha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[Retail_Sales_Dashboard_Aditya.xlsx]Pivots!PT_CategoryShare2</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75000"/>
                    <a:lumOff val="25000"/>
                  </a:schemeClr>
                </a:solidFill>
                <a:latin typeface="+mn-lt"/>
                <a:ea typeface="+mn-ea"/>
                <a:cs typeface="+mn-cs"/>
              </a:defRPr>
            </a:pPr>
            <a:r>
              <a:rPr lang="en-US" sz="1200" b="1">
                <a:solidFill>
                  <a:schemeClr val="tx1">
                    <a:lumMod val="75000"/>
                    <a:lumOff val="25000"/>
                  </a:schemeClr>
                </a:solidFill>
              </a:rPr>
              <a:t>Category Share of Total Profit (2024–2025)</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lumMod val="60000"/>
              <a:lumOff val="40000"/>
            </a:schemeClr>
          </a:solidFill>
          <a:ln w="19050">
            <a:solidFill>
              <a:schemeClr val="lt1"/>
            </a:solidFill>
          </a:ln>
          <a:effectLst>
            <a:innerShdw blurRad="114300">
              <a:schemeClr val="accent1"/>
            </a:innerShdw>
          </a:effectLst>
        </c:spPr>
        <c:dLbl>
          <c:idx val="0"/>
          <c:layout>
            <c:manualLayout>
              <c:x val="0.19405915032679738"/>
              <c:y val="-2.143926846100759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1345228758169935"/>
                  <c:h val="0.12033885438233265"/>
                </c:manualLayout>
              </c15:layout>
            </c:ext>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7305620915032666"/>
              <c:y val="3.90993788819875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3">
              <a:lumMod val="60000"/>
              <a:lumOff val="40000"/>
            </a:schemeClr>
          </a:solidFill>
          <a:ln w="19050">
            <a:solidFill>
              <a:schemeClr val="lt1"/>
            </a:solidFill>
          </a:ln>
          <a:effectLst>
            <a:innerShdw blurRad="114300">
              <a:schemeClr val="accent1"/>
            </a:innerShdw>
          </a:effectLst>
        </c:spPr>
        <c:dLbl>
          <c:idx val="0"/>
          <c:layout>
            <c:manualLayout>
              <c:x val="-0.17518638684640522"/>
              <c:y val="-1.972049689441009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4859836601307189"/>
                  <c:h val="0.14225051759834367"/>
                </c:manualLayout>
              </c15:layout>
            </c:ext>
          </c:extLst>
        </c:dLbl>
      </c:pivotFmt>
    </c:pivotFmts>
    <c:plotArea>
      <c:layout/>
      <c:doughnutChart>
        <c:varyColors val="1"/>
        <c:ser>
          <c:idx val="0"/>
          <c:order val="0"/>
          <c:tx>
            <c:strRef>
              <c:f>Pivots!$B$52</c:f>
              <c:strCache>
                <c:ptCount val="1"/>
                <c:pt idx="0">
                  <c:v>Total</c:v>
                </c:pt>
              </c:strCache>
            </c:strRef>
          </c:tx>
          <c:dPt>
            <c:idx val="0"/>
            <c:bubble3D val="0"/>
            <c:spPr>
              <a:solidFill>
                <a:schemeClr val="accent5">
                  <a:lumMod val="60000"/>
                  <a:lumOff val="40000"/>
                </a:schemeClr>
              </a:solidFill>
              <a:ln w="19050">
                <a:solidFill>
                  <a:schemeClr val="lt1"/>
                </a:solidFill>
              </a:ln>
              <a:effectLst>
                <a:innerShdw blurRad="114300">
                  <a:schemeClr val="accent1"/>
                </a:innerShdw>
              </a:effectLst>
            </c:spPr>
            <c:extLst>
              <c:ext xmlns:c16="http://schemas.microsoft.com/office/drawing/2014/chart" uri="{C3380CC4-5D6E-409C-BE32-E72D297353CC}">
                <c16:uniqueId val="{00000001-C231-499A-B964-9D9C938DA303}"/>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C231-499A-B964-9D9C938DA303}"/>
              </c:ext>
            </c:extLst>
          </c:dPt>
          <c:dPt>
            <c:idx val="2"/>
            <c:bubble3D val="0"/>
            <c:spPr>
              <a:solidFill>
                <a:schemeClr val="accent3">
                  <a:lumMod val="60000"/>
                  <a:lumOff val="40000"/>
                </a:schemeClr>
              </a:solidFill>
              <a:ln w="19050">
                <a:solidFill>
                  <a:schemeClr val="lt1"/>
                </a:solidFill>
              </a:ln>
              <a:effectLst>
                <a:innerShdw blurRad="114300">
                  <a:schemeClr val="accent3"/>
                </a:innerShdw>
              </a:effectLst>
            </c:spPr>
            <c:extLst>
              <c:ext xmlns:c16="http://schemas.microsoft.com/office/drawing/2014/chart" uri="{C3380CC4-5D6E-409C-BE32-E72D297353CC}">
                <c16:uniqueId val="{00000005-C231-499A-B964-9D9C938DA303}"/>
              </c:ext>
            </c:extLst>
          </c:dPt>
          <c:dLbls>
            <c:dLbl>
              <c:idx val="0"/>
              <c:layout>
                <c:manualLayout>
                  <c:x val="0.19405915032679738"/>
                  <c:y val="-2.143926846100759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1345228758169935"/>
                      <c:h val="0.12033885438233265"/>
                    </c:manualLayout>
                  </c15:layout>
                </c:ext>
                <c:ext xmlns:c16="http://schemas.microsoft.com/office/drawing/2014/chart" uri="{C3380CC4-5D6E-409C-BE32-E72D297353CC}">
                  <c16:uniqueId val="{00000001-C231-499A-B964-9D9C938DA303}"/>
                </c:ext>
              </c:extLst>
            </c:dLbl>
            <c:dLbl>
              <c:idx val="1"/>
              <c:layout>
                <c:manualLayout>
                  <c:x val="0.17305620915032666"/>
                  <c:y val="3.9099378881987581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231-499A-B964-9D9C938DA303}"/>
                </c:ext>
              </c:extLst>
            </c:dLbl>
            <c:dLbl>
              <c:idx val="2"/>
              <c:layout>
                <c:manualLayout>
                  <c:x val="-0.17518638684640522"/>
                  <c:y val="-1.972049689441009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4859836601307189"/>
                      <c:h val="0.14225051759834367"/>
                    </c:manualLayout>
                  </c15:layout>
                </c:ext>
                <c:ext xmlns:c16="http://schemas.microsoft.com/office/drawing/2014/chart" uri="{C3380CC4-5D6E-409C-BE32-E72D297353CC}">
                  <c16:uniqueId val="{00000005-C231-499A-B964-9D9C938DA30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15875">
                  <a:solidFill>
                    <a:schemeClr val="tx1">
                      <a:alpha val="40000"/>
                    </a:schemeClr>
                  </a:solidFill>
                  <a:tailEnd type="triangle"/>
                </a:ln>
                <a:effectLst/>
              </c:spPr>
            </c:leaderLines>
            <c:extLst>
              <c:ext xmlns:c15="http://schemas.microsoft.com/office/drawing/2012/chart" uri="{CE6537A1-D6FC-4f65-9D91-7224C49458BB}"/>
            </c:extLst>
          </c:dLbls>
          <c:cat>
            <c:strRef>
              <c:f>Pivots!$A$53:$A$56</c:f>
              <c:strCache>
                <c:ptCount val="3"/>
                <c:pt idx="0">
                  <c:v>Furniture</c:v>
                </c:pt>
                <c:pt idx="1">
                  <c:v>Office Supplies</c:v>
                </c:pt>
                <c:pt idx="2">
                  <c:v>Technology</c:v>
                </c:pt>
              </c:strCache>
            </c:strRef>
          </c:cat>
          <c:val>
            <c:numRef>
              <c:f>Pivots!$B$53:$B$56</c:f>
              <c:numCache>
                <c:formatCode>"₹"\ #,##0.00</c:formatCode>
                <c:ptCount val="3"/>
                <c:pt idx="0">
                  <c:v>793041.49000000011</c:v>
                </c:pt>
                <c:pt idx="1">
                  <c:v>47969.710000000021</c:v>
                </c:pt>
                <c:pt idx="2">
                  <c:v>1926470.7700000007</c:v>
                </c:pt>
              </c:numCache>
            </c:numRef>
          </c:val>
          <c:extLst>
            <c:ext xmlns:c16="http://schemas.microsoft.com/office/drawing/2014/chart" uri="{C3380CC4-5D6E-409C-BE32-E72D297353CC}">
              <c16:uniqueId val="{00000006-C231-499A-B964-9D9C938DA303}"/>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alpha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170181</xdr:colOff>
      <xdr:row>6</xdr:row>
      <xdr:rowOff>110067</xdr:rowOff>
    </xdr:from>
    <xdr:to>
      <xdr:col>1</xdr:col>
      <xdr:colOff>368301</xdr:colOff>
      <xdr:row>11</xdr:row>
      <xdr:rowOff>56727</xdr:rowOff>
    </xdr:to>
    <xdr:grpSp>
      <xdr:nvGrpSpPr>
        <xdr:cNvPr id="12" name="Group 11">
          <a:extLst>
            <a:ext uri="{FF2B5EF4-FFF2-40B4-BE49-F238E27FC236}">
              <a16:creationId xmlns:a16="http://schemas.microsoft.com/office/drawing/2014/main" id="{A2017076-7B56-1600-4FF7-015AC08F809D}"/>
            </a:ext>
          </a:extLst>
        </xdr:cNvPr>
        <xdr:cNvGrpSpPr/>
      </xdr:nvGrpSpPr>
      <xdr:grpSpPr>
        <a:xfrm>
          <a:off x="170181" y="1348317"/>
          <a:ext cx="2045970" cy="851535"/>
          <a:chOff x="0" y="1455420"/>
          <a:chExt cx="2049780" cy="861060"/>
        </a:xfrm>
      </xdr:grpSpPr>
      <xdr:sp macro="" textlink="Pivots!$A$4">
        <xdr:nvSpPr>
          <xdr:cNvPr id="2" name="Rectangle: Rounded Corners 1">
            <a:extLst>
              <a:ext uri="{FF2B5EF4-FFF2-40B4-BE49-F238E27FC236}">
                <a16:creationId xmlns:a16="http://schemas.microsoft.com/office/drawing/2014/main" id="{79EAAFBA-1803-0D76-3547-9EE0923366D4}"/>
              </a:ext>
            </a:extLst>
          </xdr:cNvPr>
          <xdr:cNvSpPr/>
        </xdr:nvSpPr>
        <xdr:spPr>
          <a:xfrm>
            <a:off x="0" y="1516380"/>
            <a:ext cx="2049780" cy="8001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A9200C78-D07D-40D6-9A43-43D1215AC82D}" type="TxLink">
              <a:rPr lang="en-US" sz="2000" b="1" i="0" u="none" strike="noStrike" kern="1200">
                <a:solidFill>
                  <a:srgbClr val="000000"/>
                </a:solidFill>
                <a:latin typeface="Calibri"/>
                <a:ea typeface="Calibri"/>
                <a:cs typeface="Calibri"/>
              </a:rPr>
              <a:pPr algn="ctr"/>
              <a:t>₹ 1,35,96,442.06</a:t>
            </a:fld>
            <a:endParaRPr lang="en-IN" sz="2000" b="1" kern="1200"/>
          </a:p>
        </xdr:txBody>
      </xdr:sp>
      <xdr:sp macro="" textlink="Pivots!$A$3">
        <xdr:nvSpPr>
          <xdr:cNvPr id="11" name="Rectangle: Rounded Corners 10">
            <a:extLst>
              <a:ext uri="{FF2B5EF4-FFF2-40B4-BE49-F238E27FC236}">
                <a16:creationId xmlns:a16="http://schemas.microsoft.com/office/drawing/2014/main" id="{ABA48656-0A8A-466F-A9D9-A59E494CEC60}"/>
              </a:ext>
            </a:extLst>
          </xdr:cNvPr>
          <xdr:cNvSpPr/>
        </xdr:nvSpPr>
        <xdr:spPr>
          <a:xfrm>
            <a:off x="198120" y="1455420"/>
            <a:ext cx="1653540" cy="18288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4C187F0F-EC2A-4894-9D76-70DB48B3F6B6}" type="TxLink">
              <a:rPr lang="en-US" sz="1200" b="1" i="0" u="none" strike="noStrike" kern="1200">
                <a:solidFill>
                  <a:srgbClr val="000000"/>
                </a:solidFill>
                <a:latin typeface="Calibri"/>
                <a:ea typeface="Calibri"/>
                <a:cs typeface="Calibri"/>
              </a:rPr>
              <a:pPr algn="ctr"/>
              <a:t>Total Sales</a:t>
            </a:fld>
            <a:endParaRPr lang="en-IN" sz="1200" b="1" u="none" kern="1200"/>
          </a:p>
        </xdr:txBody>
      </xdr:sp>
    </xdr:grpSp>
    <xdr:clientData/>
  </xdr:twoCellAnchor>
  <xdr:twoCellAnchor>
    <xdr:from>
      <xdr:col>1</xdr:col>
      <xdr:colOff>525780</xdr:colOff>
      <xdr:row>6</xdr:row>
      <xdr:rowOff>110067</xdr:rowOff>
    </xdr:from>
    <xdr:to>
      <xdr:col>2</xdr:col>
      <xdr:colOff>922020</xdr:colOff>
      <xdr:row>11</xdr:row>
      <xdr:rowOff>56727</xdr:rowOff>
    </xdr:to>
    <xdr:grpSp>
      <xdr:nvGrpSpPr>
        <xdr:cNvPr id="16" name="Group 15">
          <a:extLst>
            <a:ext uri="{FF2B5EF4-FFF2-40B4-BE49-F238E27FC236}">
              <a16:creationId xmlns:a16="http://schemas.microsoft.com/office/drawing/2014/main" id="{1D886886-25F7-4D36-BBD1-5F7F058B4E3A}"/>
            </a:ext>
          </a:extLst>
        </xdr:cNvPr>
        <xdr:cNvGrpSpPr/>
      </xdr:nvGrpSpPr>
      <xdr:grpSpPr>
        <a:xfrm>
          <a:off x="2373630" y="1348317"/>
          <a:ext cx="2053590" cy="851535"/>
          <a:chOff x="0" y="1455420"/>
          <a:chExt cx="2049780" cy="861060"/>
        </a:xfrm>
      </xdr:grpSpPr>
      <xdr:sp macro="" textlink="Pivots!$B$4">
        <xdr:nvSpPr>
          <xdr:cNvPr id="17" name="Rectangle: Rounded Corners 16">
            <a:extLst>
              <a:ext uri="{FF2B5EF4-FFF2-40B4-BE49-F238E27FC236}">
                <a16:creationId xmlns:a16="http://schemas.microsoft.com/office/drawing/2014/main" id="{C1C0E7B7-88E1-E168-CC1B-EDFDAA92BA54}"/>
              </a:ext>
            </a:extLst>
          </xdr:cNvPr>
          <xdr:cNvSpPr/>
        </xdr:nvSpPr>
        <xdr:spPr>
          <a:xfrm>
            <a:off x="0" y="1516380"/>
            <a:ext cx="2049780" cy="8001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fld id="{27C937B1-1C27-4D3C-BB18-1CA6F7AF6202}" type="TxLink">
              <a:rPr lang="en-US" sz="2000" b="1" i="0" u="none" strike="noStrike" kern="1200">
                <a:solidFill>
                  <a:srgbClr val="000000"/>
                </a:solidFill>
                <a:latin typeface="Calibri"/>
                <a:ea typeface="Calibri"/>
                <a:cs typeface="Calibri"/>
              </a:rPr>
              <a:pPr algn="ctr"/>
              <a:t>₹ 27,67,481.97</a:t>
            </a:fld>
            <a:endParaRPr lang="en-IN" sz="2000" b="1" kern="1200"/>
          </a:p>
        </xdr:txBody>
      </xdr:sp>
      <xdr:sp macro="" textlink="Pivots!$B$3">
        <xdr:nvSpPr>
          <xdr:cNvPr id="18" name="Rectangle: Rounded Corners 17">
            <a:extLst>
              <a:ext uri="{FF2B5EF4-FFF2-40B4-BE49-F238E27FC236}">
                <a16:creationId xmlns:a16="http://schemas.microsoft.com/office/drawing/2014/main" id="{270A532A-E248-F944-1932-7F29FE3BD388}"/>
              </a:ext>
            </a:extLst>
          </xdr:cNvPr>
          <xdr:cNvSpPr/>
        </xdr:nvSpPr>
        <xdr:spPr>
          <a:xfrm>
            <a:off x="198120" y="1455420"/>
            <a:ext cx="1653540" cy="18288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fld id="{EAD0AA12-819B-48E6-938F-D7433B24338C}" type="TxLink">
              <a:rPr lang="en-US" sz="1200" b="1" i="0" u="none" strike="noStrike" kern="1200">
                <a:solidFill>
                  <a:srgbClr val="000000"/>
                </a:solidFill>
                <a:latin typeface="Calibri"/>
                <a:ea typeface="Calibri"/>
                <a:cs typeface="Calibri"/>
              </a:rPr>
              <a:pPr algn="ctr"/>
              <a:t>Total Profit</a:t>
            </a:fld>
            <a:endParaRPr lang="en-IN" sz="1400" b="1" u="none" kern="1200"/>
          </a:p>
        </xdr:txBody>
      </xdr:sp>
    </xdr:grpSp>
    <xdr:clientData/>
  </xdr:twoCellAnchor>
  <xdr:twoCellAnchor>
    <xdr:from>
      <xdr:col>3</xdr:col>
      <xdr:colOff>0</xdr:colOff>
      <xdr:row>6</xdr:row>
      <xdr:rowOff>110067</xdr:rowOff>
    </xdr:from>
    <xdr:to>
      <xdr:col>5</xdr:col>
      <xdr:colOff>365760</xdr:colOff>
      <xdr:row>11</xdr:row>
      <xdr:rowOff>56727</xdr:rowOff>
    </xdr:to>
    <xdr:grpSp>
      <xdr:nvGrpSpPr>
        <xdr:cNvPr id="22" name="Group 21">
          <a:extLst>
            <a:ext uri="{FF2B5EF4-FFF2-40B4-BE49-F238E27FC236}">
              <a16:creationId xmlns:a16="http://schemas.microsoft.com/office/drawing/2014/main" id="{60D7BDBF-BB3B-4664-A0A7-2D796BEEBD49}"/>
            </a:ext>
          </a:extLst>
        </xdr:cNvPr>
        <xdr:cNvGrpSpPr/>
      </xdr:nvGrpSpPr>
      <xdr:grpSpPr>
        <a:xfrm>
          <a:off x="4581525" y="1348317"/>
          <a:ext cx="2051685" cy="851535"/>
          <a:chOff x="0" y="1455420"/>
          <a:chExt cx="2049780" cy="861060"/>
        </a:xfrm>
      </xdr:grpSpPr>
      <xdr:sp macro="" textlink="Pivots!$D$4">
        <xdr:nvSpPr>
          <xdr:cNvPr id="23" name="Rectangle: Rounded Corners 22">
            <a:extLst>
              <a:ext uri="{FF2B5EF4-FFF2-40B4-BE49-F238E27FC236}">
                <a16:creationId xmlns:a16="http://schemas.microsoft.com/office/drawing/2014/main" id="{5970C18B-CFDF-3793-CD13-FF9B4E55ACFE}"/>
              </a:ext>
            </a:extLst>
          </xdr:cNvPr>
          <xdr:cNvSpPr/>
        </xdr:nvSpPr>
        <xdr:spPr>
          <a:xfrm>
            <a:off x="0" y="1516380"/>
            <a:ext cx="2049780" cy="80010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1E1E58F2-405F-4621-B164-66C7A41830C6}" type="TxLink">
              <a:rPr lang="en-US" sz="2000" b="1" i="0" u="none" strike="noStrike" kern="1200">
                <a:solidFill>
                  <a:srgbClr val="000000"/>
                </a:solidFill>
                <a:latin typeface="Calibri"/>
                <a:ea typeface="Calibri"/>
                <a:cs typeface="Calibri"/>
              </a:rPr>
              <a:pPr algn="ctr"/>
              <a:t>500</a:t>
            </a:fld>
            <a:endParaRPr lang="en-IN" sz="4000" b="1" kern="1200"/>
          </a:p>
        </xdr:txBody>
      </xdr:sp>
      <xdr:sp macro="" textlink="Pivots!$D$3">
        <xdr:nvSpPr>
          <xdr:cNvPr id="24" name="Rectangle: Rounded Corners 23">
            <a:extLst>
              <a:ext uri="{FF2B5EF4-FFF2-40B4-BE49-F238E27FC236}">
                <a16:creationId xmlns:a16="http://schemas.microsoft.com/office/drawing/2014/main" id="{0E52FEA1-C39D-D012-22D2-02AF66367E39}"/>
              </a:ext>
            </a:extLst>
          </xdr:cNvPr>
          <xdr:cNvSpPr/>
        </xdr:nvSpPr>
        <xdr:spPr>
          <a:xfrm>
            <a:off x="198120" y="1455420"/>
            <a:ext cx="1653540" cy="18288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3AA9A2E6-8158-4A50-BC84-B40CA366170E}" type="TxLink">
              <a:rPr lang="en-US" sz="1200" b="1" i="0" u="none" strike="noStrike" kern="1200">
                <a:solidFill>
                  <a:srgbClr val="000000"/>
                </a:solidFill>
                <a:latin typeface="Calibri"/>
                <a:ea typeface="Calibri"/>
                <a:cs typeface="Calibri"/>
              </a:rPr>
              <a:pPr algn="ctr"/>
              <a:t>Orders</a:t>
            </a:fld>
            <a:endParaRPr lang="en-IN" sz="1400" b="1" u="none" kern="1200"/>
          </a:p>
        </xdr:txBody>
      </xdr:sp>
    </xdr:grpSp>
    <xdr:clientData/>
  </xdr:twoCellAnchor>
  <xdr:twoCellAnchor>
    <xdr:from>
      <xdr:col>0</xdr:col>
      <xdr:colOff>144780</xdr:colOff>
      <xdr:row>12</xdr:row>
      <xdr:rowOff>33867</xdr:rowOff>
    </xdr:from>
    <xdr:to>
      <xdr:col>1</xdr:col>
      <xdr:colOff>342900</xdr:colOff>
      <xdr:row>16</xdr:row>
      <xdr:rowOff>166793</xdr:rowOff>
    </xdr:to>
    <xdr:grpSp>
      <xdr:nvGrpSpPr>
        <xdr:cNvPr id="25" name="Group 24">
          <a:extLst>
            <a:ext uri="{FF2B5EF4-FFF2-40B4-BE49-F238E27FC236}">
              <a16:creationId xmlns:a16="http://schemas.microsoft.com/office/drawing/2014/main" id="{1AB36001-F537-4316-A09C-DC9E2C22B709}"/>
            </a:ext>
          </a:extLst>
        </xdr:cNvPr>
        <xdr:cNvGrpSpPr/>
      </xdr:nvGrpSpPr>
      <xdr:grpSpPr>
        <a:xfrm>
          <a:off x="144780" y="2357967"/>
          <a:ext cx="2045970" cy="856826"/>
          <a:chOff x="0" y="1455420"/>
          <a:chExt cx="2049780" cy="861060"/>
        </a:xfrm>
      </xdr:grpSpPr>
      <xdr:sp macro="" textlink="Pivots!$C$4">
        <xdr:nvSpPr>
          <xdr:cNvPr id="26" name="Rectangle: Rounded Corners 25">
            <a:extLst>
              <a:ext uri="{FF2B5EF4-FFF2-40B4-BE49-F238E27FC236}">
                <a16:creationId xmlns:a16="http://schemas.microsoft.com/office/drawing/2014/main" id="{01B09DA5-FA7A-2E0A-75C3-74497856240F}"/>
              </a:ext>
            </a:extLst>
          </xdr:cNvPr>
          <xdr:cNvSpPr/>
        </xdr:nvSpPr>
        <xdr:spPr>
          <a:xfrm>
            <a:off x="0" y="1516380"/>
            <a:ext cx="2049780" cy="8001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20F02D4A-FBB3-4396-B1B7-AF5173342B9C}" type="TxLink">
              <a:rPr lang="en-US" sz="2000" b="1" i="0" u="none" strike="noStrike" kern="1200">
                <a:solidFill>
                  <a:srgbClr val="000000"/>
                </a:solidFill>
                <a:latin typeface="Calibri"/>
                <a:ea typeface="Calibri"/>
                <a:cs typeface="Calibri"/>
              </a:rPr>
              <a:pPr algn="ctr"/>
              <a:t>768</a:t>
            </a:fld>
            <a:endParaRPr lang="en-IN" sz="4000" b="1" kern="1200"/>
          </a:p>
        </xdr:txBody>
      </xdr:sp>
      <xdr:sp macro="" textlink="Pivots!$C$3">
        <xdr:nvSpPr>
          <xdr:cNvPr id="27" name="Rectangle: Rounded Corners 26">
            <a:extLst>
              <a:ext uri="{FF2B5EF4-FFF2-40B4-BE49-F238E27FC236}">
                <a16:creationId xmlns:a16="http://schemas.microsoft.com/office/drawing/2014/main" id="{149E6B44-E30E-9D25-7C28-A3646ACB095C}"/>
              </a:ext>
            </a:extLst>
          </xdr:cNvPr>
          <xdr:cNvSpPr/>
        </xdr:nvSpPr>
        <xdr:spPr>
          <a:xfrm>
            <a:off x="198120" y="1455420"/>
            <a:ext cx="1653540" cy="18288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FB601C14-2D95-4057-B7F8-8A25A2AB422D}" type="TxLink">
              <a:rPr lang="en-US" sz="1200" b="1" i="0" u="none" strike="noStrike" kern="1200">
                <a:solidFill>
                  <a:srgbClr val="000000"/>
                </a:solidFill>
                <a:latin typeface="Calibri"/>
                <a:ea typeface="Calibri"/>
                <a:cs typeface="Calibri"/>
              </a:rPr>
              <a:pPr algn="ctr"/>
              <a:t>Units Sold</a:t>
            </a:fld>
            <a:endParaRPr lang="en-IN" sz="1400" b="1" u="none" kern="1200"/>
          </a:p>
        </xdr:txBody>
      </xdr:sp>
    </xdr:grpSp>
    <xdr:clientData/>
  </xdr:twoCellAnchor>
  <xdr:twoCellAnchor>
    <xdr:from>
      <xdr:col>1</xdr:col>
      <xdr:colOff>525780</xdr:colOff>
      <xdr:row>12</xdr:row>
      <xdr:rowOff>41487</xdr:rowOff>
    </xdr:from>
    <xdr:to>
      <xdr:col>2</xdr:col>
      <xdr:colOff>922020</xdr:colOff>
      <xdr:row>16</xdr:row>
      <xdr:rowOff>174413</xdr:rowOff>
    </xdr:to>
    <xdr:grpSp>
      <xdr:nvGrpSpPr>
        <xdr:cNvPr id="31" name="Group 30">
          <a:extLst>
            <a:ext uri="{FF2B5EF4-FFF2-40B4-BE49-F238E27FC236}">
              <a16:creationId xmlns:a16="http://schemas.microsoft.com/office/drawing/2014/main" id="{C72A1F63-5539-4A63-9444-20B27A233417}"/>
            </a:ext>
          </a:extLst>
        </xdr:cNvPr>
        <xdr:cNvGrpSpPr/>
      </xdr:nvGrpSpPr>
      <xdr:grpSpPr>
        <a:xfrm>
          <a:off x="2373630" y="2365587"/>
          <a:ext cx="2053590" cy="856826"/>
          <a:chOff x="0" y="1455420"/>
          <a:chExt cx="2049780" cy="861060"/>
        </a:xfrm>
      </xdr:grpSpPr>
      <xdr:sp macro="" textlink="Pivots!$F$4">
        <xdr:nvSpPr>
          <xdr:cNvPr id="32" name="Rectangle: Rounded Corners 31">
            <a:extLst>
              <a:ext uri="{FF2B5EF4-FFF2-40B4-BE49-F238E27FC236}">
                <a16:creationId xmlns:a16="http://schemas.microsoft.com/office/drawing/2014/main" id="{35B0E195-66F5-59DA-320A-CB7C18A238A9}"/>
              </a:ext>
            </a:extLst>
          </xdr:cNvPr>
          <xdr:cNvSpPr/>
        </xdr:nvSpPr>
        <xdr:spPr>
          <a:xfrm>
            <a:off x="0" y="1516380"/>
            <a:ext cx="2049780" cy="8001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fld id="{9E7B2385-DFA2-46BA-92D0-4E0C01882F0E}" type="TxLink">
              <a:rPr lang="en-US" sz="2000" b="1" i="0" u="none" strike="noStrike" kern="1200">
                <a:solidFill>
                  <a:srgbClr val="000000"/>
                </a:solidFill>
                <a:latin typeface="Calibri"/>
                <a:ea typeface="Calibri"/>
                <a:cs typeface="Calibri"/>
              </a:rPr>
              <a:pPr algn="ctr"/>
              <a:t>20.35%</a:t>
            </a:fld>
            <a:endParaRPr lang="en-IN" sz="4000" b="1" kern="1200"/>
          </a:p>
        </xdr:txBody>
      </xdr:sp>
      <xdr:sp macro="" textlink="Pivots!$F$3">
        <xdr:nvSpPr>
          <xdr:cNvPr id="33" name="Rectangle: Rounded Corners 32">
            <a:extLst>
              <a:ext uri="{FF2B5EF4-FFF2-40B4-BE49-F238E27FC236}">
                <a16:creationId xmlns:a16="http://schemas.microsoft.com/office/drawing/2014/main" id="{70C9F689-4F5D-5D2B-75C0-432003C7DEE8}"/>
              </a:ext>
            </a:extLst>
          </xdr:cNvPr>
          <xdr:cNvSpPr/>
        </xdr:nvSpPr>
        <xdr:spPr>
          <a:xfrm>
            <a:off x="198120" y="1455420"/>
            <a:ext cx="1653540" cy="18288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fld id="{53798896-03C4-4266-87E7-C68CDE9621F6}" type="TxLink">
              <a:rPr lang="en-US" sz="1200" b="1" i="0" u="none" strike="noStrike" kern="1200">
                <a:solidFill>
                  <a:srgbClr val="000000"/>
                </a:solidFill>
                <a:latin typeface="Calibri"/>
                <a:ea typeface="Calibri"/>
                <a:cs typeface="Calibri"/>
              </a:rPr>
              <a:pPr algn="ctr"/>
              <a:t>Profit Margin %</a:t>
            </a:fld>
            <a:endParaRPr lang="en-IN" sz="1600" b="1" u="none" kern="1200"/>
          </a:p>
        </xdr:txBody>
      </xdr:sp>
    </xdr:grpSp>
    <xdr:clientData/>
  </xdr:twoCellAnchor>
  <xdr:twoCellAnchor>
    <xdr:from>
      <xdr:col>3</xdr:col>
      <xdr:colOff>0</xdr:colOff>
      <xdr:row>12</xdr:row>
      <xdr:rowOff>33867</xdr:rowOff>
    </xdr:from>
    <xdr:to>
      <xdr:col>5</xdr:col>
      <xdr:colOff>365760</xdr:colOff>
      <xdr:row>16</xdr:row>
      <xdr:rowOff>166793</xdr:rowOff>
    </xdr:to>
    <xdr:grpSp>
      <xdr:nvGrpSpPr>
        <xdr:cNvPr id="37" name="Group 36">
          <a:extLst>
            <a:ext uri="{FF2B5EF4-FFF2-40B4-BE49-F238E27FC236}">
              <a16:creationId xmlns:a16="http://schemas.microsoft.com/office/drawing/2014/main" id="{E4D39012-53E7-458A-BE5E-88BD86F70ECE}"/>
            </a:ext>
          </a:extLst>
        </xdr:cNvPr>
        <xdr:cNvGrpSpPr/>
      </xdr:nvGrpSpPr>
      <xdr:grpSpPr>
        <a:xfrm>
          <a:off x="4581525" y="2357967"/>
          <a:ext cx="2051685" cy="856826"/>
          <a:chOff x="0" y="1455420"/>
          <a:chExt cx="2049780" cy="861060"/>
        </a:xfrm>
      </xdr:grpSpPr>
      <xdr:sp macro="" textlink="Pivots!$E$4">
        <xdr:nvSpPr>
          <xdr:cNvPr id="38" name="Rectangle: Rounded Corners 37">
            <a:extLst>
              <a:ext uri="{FF2B5EF4-FFF2-40B4-BE49-F238E27FC236}">
                <a16:creationId xmlns:a16="http://schemas.microsoft.com/office/drawing/2014/main" id="{1B73CFFD-A416-0805-E4DA-5AC7F1BF3406}"/>
              </a:ext>
            </a:extLst>
          </xdr:cNvPr>
          <xdr:cNvSpPr/>
        </xdr:nvSpPr>
        <xdr:spPr>
          <a:xfrm>
            <a:off x="0" y="1516380"/>
            <a:ext cx="2049780" cy="80010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4321E564-F585-41C3-8CED-464F54C15A84}" type="TxLink">
              <a:rPr lang="en-US" sz="2000" b="1" i="0" u="none" strike="noStrike" kern="1200">
                <a:solidFill>
                  <a:srgbClr val="000000"/>
                </a:solidFill>
                <a:latin typeface="Calibri"/>
                <a:ea typeface="Calibri"/>
                <a:cs typeface="Calibri"/>
              </a:rPr>
              <a:pPr algn="ctr"/>
              <a:t>₹ 27,192.88</a:t>
            </a:fld>
            <a:endParaRPr lang="en-IN" sz="6600" b="1" kern="1200"/>
          </a:p>
        </xdr:txBody>
      </xdr:sp>
      <xdr:sp macro="" textlink="Pivots!$E$3">
        <xdr:nvSpPr>
          <xdr:cNvPr id="39" name="Rectangle: Rounded Corners 38">
            <a:extLst>
              <a:ext uri="{FF2B5EF4-FFF2-40B4-BE49-F238E27FC236}">
                <a16:creationId xmlns:a16="http://schemas.microsoft.com/office/drawing/2014/main" id="{B0D17CBC-9AF5-22C5-DF6D-DFF4611E482A}"/>
              </a:ext>
            </a:extLst>
          </xdr:cNvPr>
          <xdr:cNvSpPr/>
        </xdr:nvSpPr>
        <xdr:spPr>
          <a:xfrm>
            <a:off x="198120" y="1455420"/>
            <a:ext cx="1653540" cy="18288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AF29D47D-7E70-4707-A768-5DDC65CFA084}" type="TxLink">
              <a:rPr lang="en-US" sz="1200" b="1" i="0" u="none" strike="noStrike" kern="1200">
                <a:solidFill>
                  <a:srgbClr val="000000"/>
                </a:solidFill>
                <a:latin typeface="Calibri"/>
                <a:ea typeface="Calibri"/>
                <a:cs typeface="Calibri"/>
              </a:rPr>
              <a:pPr algn="ctr"/>
              <a:t>Average Order Value</a:t>
            </a:fld>
            <a:endParaRPr lang="en-IN" sz="1600" b="1" u="none" kern="1200"/>
          </a:p>
        </xdr:txBody>
      </xdr:sp>
    </xdr:grpSp>
    <xdr:clientData/>
  </xdr:twoCellAnchor>
  <xdr:twoCellAnchor>
    <xdr:from>
      <xdr:col>1</xdr:col>
      <xdr:colOff>723900</xdr:colOff>
      <xdr:row>3</xdr:row>
      <xdr:rowOff>174410</xdr:rowOff>
    </xdr:from>
    <xdr:to>
      <xdr:col>2</xdr:col>
      <xdr:colOff>723900</xdr:colOff>
      <xdr:row>5</xdr:row>
      <xdr:rowOff>67731</xdr:rowOff>
    </xdr:to>
    <xdr:sp macro="" textlink="">
      <xdr:nvSpPr>
        <xdr:cNvPr id="41" name="Rectangle: Rounded Corners 40">
          <a:extLst>
            <a:ext uri="{FF2B5EF4-FFF2-40B4-BE49-F238E27FC236}">
              <a16:creationId xmlns:a16="http://schemas.microsoft.com/office/drawing/2014/main" id="{9563E6FC-7A34-424C-813A-04BC97DEA85E}"/>
            </a:ext>
          </a:extLst>
        </xdr:cNvPr>
        <xdr:cNvSpPr/>
      </xdr:nvSpPr>
      <xdr:spPr>
        <a:xfrm>
          <a:off x="2578100" y="885610"/>
          <a:ext cx="1651000" cy="265854"/>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400" b="1" i="0" u="none" strike="noStrike" kern="1200">
              <a:solidFill>
                <a:srgbClr val="000000"/>
              </a:solidFill>
              <a:latin typeface="Calibri"/>
              <a:ea typeface="Calibri"/>
              <a:cs typeface="Calibri"/>
            </a:rPr>
            <a:t>KPIs</a:t>
          </a:r>
        </a:p>
      </xdr:txBody>
    </xdr:sp>
    <xdr:clientData/>
  </xdr:twoCellAnchor>
  <xdr:twoCellAnchor>
    <xdr:from>
      <xdr:col>0</xdr:col>
      <xdr:colOff>228600</xdr:colOff>
      <xdr:row>22</xdr:row>
      <xdr:rowOff>8466</xdr:rowOff>
    </xdr:from>
    <xdr:to>
      <xdr:col>5</xdr:col>
      <xdr:colOff>342900</xdr:colOff>
      <xdr:row>38</xdr:row>
      <xdr:rowOff>8467</xdr:rowOff>
    </xdr:to>
    <xdr:graphicFrame macro="">
      <xdr:nvGraphicFramePr>
        <xdr:cNvPr id="50" name="SalesTrend">
          <a:extLst>
            <a:ext uri="{FF2B5EF4-FFF2-40B4-BE49-F238E27FC236}">
              <a16:creationId xmlns:a16="http://schemas.microsoft.com/office/drawing/2014/main" id="{761B14E9-0B99-6ADA-F8F2-D3A755AB54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242993</xdr:colOff>
      <xdr:row>43</xdr:row>
      <xdr:rowOff>9734</xdr:rowOff>
    </xdr:from>
    <xdr:to>
      <xdr:col>5</xdr:col>
      <xdr:colOff>356860</xdr:colOff>
      <xdr:row>59</xdr:row>
      <xdr:rowOff>10268</xdr:rowOff>
    </xdr:to>
    <xdr:graphicFrame macro="">
      <xdr:nvGraphicFramePr>
        <xdr:cNvPr id="3" name="RegionalPerformance" title="i8i8i78">
          <a:extLst>
            <a:ext uri="{FF2B5EF4-FFF2-40B4-BE49-F238E27FC236}">
              <a16:creationId xmlns:a16="http://schemas.microsoft.com/office/drawing/2014/main" id="{C843BEC1-EC22-92B1-706A-48F02255B0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244687</xdr:colOff>
      <xdr:row>64</xdr:row>
      <xdr:rowOff>4022</xdr:rowOff>
    </xdr:from>
    <xdr:to>
      <xdr:col>1</xdr:col>
      <xdr:colOff>1456837</xdr:colOff>
      <xdr:row>80</xdr:row>
      <xdr:rowOff>4555</xdr:rowOff>
    </xdr:to>
    <xdr:graphicFrame macro="">
      <xdr:nvGraphicFramePr>
        <xdr:cNvPr id="4" name="CategoryShare">
          <a:extLst>
            <a:ext uri="{FF2B5EF4-FFF2-40B4-BE49-F238E27FC236}">
              <a16:creationId xmlns:a16="http://schemas.microsoft.com/office/drawing/2014/main" id="{2138E93B-E304-514A-75CC-54E1126D6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258234</xdr:colOff>
      <xdr:row>85</xdr:row>
      <xdr:rowOff>1270</xdr:rowOff>
    </xdr:from>
    <xdr:to>
      <xdr:col>5</xdr:col>
      <xdr:colOff>372101</xdr:colOff>
      <xdr:row>101</xdr:row>
      <xdr:rowOff>1804</xdr:rowOff>
    </xdr:to>
    <xdr:graphicFrame macro="">
      <xdr:nvGraphicFramePr>
        <xdr:cNvPr id="5" name="Top10Products">
          <a:extLst>
            <a:ext uri="{FF2B5EF4-FFF2-40B4-BE49-F238E27FC236}">
              <a16:creationId xmlns:a16="http://schemas.microsoft.com/office/drawing/2014/main" id="{38958E17-525B-675C-9E29-FCB53ECF10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245541</xdr:colOff>
      <xdr:row>19</xdr:row>
      <xdr:rowOff>101603</xdr:rowOff>
    </xdr:from>
    <xdr:to>
      <xdr:col>3</xdr:col>
      <xdr:colOff>39274</xdr:colOff>
      <xdr:row>20</xdr:row>
      <xdr:rowOff>181191</xdr:rowOff>
    </xdr:to>
    <xdr:sp macro="" textlink="">
      <xdr:nvSpPr>
        <xdr:cNvPr id="6" name="Rectangle: Rounded Corners 5">
          <a:extLst>
            <a:ext uri="{FF2B5EF4-FFF2-40B4-BE49-F238E27FC236}">
              <a16:creationId xmlns:a16="http://schemas.microsoft.com/office/drawing/2014/main" id="{E844A7B5-26DB-46E7-AB97-79C532A55792}"/>
            </a:ext>
          </a:extLst>
        </xdr:cNvPr>
        <xdr:cNvSpPr/>
      </xdr:nvSpPr>
      <xdr:spPr>
        <a:xfrm>
          <a:off x="2099741" y="3793070"/>
          <a:ext cx="2520000" cy="265854"/>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400" b="1" i="0" u="none" strike="noStrike" kern="1200">
              <a:solidFill>
                <a:srgbClr val="000000"/>
              </a:solidFill>
              <a:latin typeface="Calibri"/>
              <a:ea typeface="Calibri"/>
              <a:cs typeface="Calibri"/>
            </a:rPr>
            <a:t>Sales Trend Over Time</a:t>
          </a:r>
        </a:p>
      </xdr:txBody>
    </xdr:sp>
    <xdr:clientData/>
  </xdr:twoCellAnchor>
  <xdr:twoCellAnchor>
    <xdr:from>
      <xdr:col>1</xdr:col>
      <xdr:colOff>254000</xdr:colOff>
      <xdr:row>40</xdr:row>
      <xdr:rowOff>110066</xdr:rowOff>
    </xdr:from>
    <xdr:to>
      <xdr:col>3</xdr:col>
      <xdr:colOff>47733</xdr:colOff>
      <xdr:row>42</xdr:row>
      <xdr:rowOff>3387</xdr:rowOff>
    </xdr:to>
    <xdr:sp macro="" textlink="">
      <xdr:nvSpPr>
        <xdr:cNvPr id="7" name="Rectangle: Rounded Corners 6">
          <a:extLst>
            <a:ext uri="{FF2B5EF4-FFF2-40B4-BE49-F238E27FC236}">
              <a16:creationId xmlns:a16="http://schemas.microsoft.com/office/drawing/2014/main" id="{203DD276-AB78-4F46-960C-6552FB30027A}"/>
            </a:ext>
          </a:extLst>
        </xdr:cNvPr>
        <xdr:cNvSpPr/>
      </xdr:nvSpPr>
      <xdr:spPr>
        <a:xfrm>
          <a:off x="2108200" y="7713133"/>
          <a:ext cx="2520000" cy="265854"/>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400" b="1" i="0" u="none" strike="noStrike" kern="1200">
              <a:solidFill>
                <a:srgbClr val="000000"/>
              </a:solidFill>
              <a:latin typeface="Calibri"/>
              <a:ea typeface="Calibri"/>
              <a:cs typeface="Calibri"/>
            </a:rPr>
            <a:t>Regional Performance</a:t>
          </a:r>
        </a:p>
      </xdr:txBody>
    </xdr:sp>
    <xdr:clientData/>
  </xdr:twoCellAnchor>
  <xdr:twoCellAnchor>
    <xdr:from>
      <xdr:col>1</xdr:col>
      <xdr:colOff>254001</xdr:colOff>
      <xdr:row>61</xdr:row>
      <xdr:rowOff>110063</xdr:rowOff>
    </xdr:from>
    <xdr:to>
      <xdr:col>3</xdr:col>
      <xdr:colOff>47734</xdr:colOff>
      <xdr:row>63</xdr:row>
      <xdr:rowOff>3384</xdr:rowOff>
    </xdr:to>
    <xdr:sp macro="" textlink="">
      <xdr:nvSpPr>
        <xdr:cNvPr id="8" name="Rectangle: Rounded Corners 7">
          <a:extLst>
            <a:ext uri="{FF2B5EF4-FFF2-40B4-BE49-F238E27FC236}">
              <a16:creationId xmlns:a16="http://schemas.microsoft.com/office/drawing/2014/main" id="{4AC74569-48C4-4104-9E4F-D28FF8DD89F7}"/>
            </a:ext>
          </a:extLst>
        </xdr:cNvPr>
        <xdr:cNvSpPr/>
      </xdr:nvSpPr>
      <xdr:spPr>
        <a:xfrm>
          <a:off x="2108201" y="11624730"/>
          <a:ext cx="2520000" cy="265854"/>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400" b="1" i="0" u="none" strike="noStrike" kern="1200">
              <a:solidFill>
                <a:srgbClr val="000000"/>
              </a:solidFill>
              <a:latin typeface="Calibri"/>
              <a:ea typeface="Calibri"/>
              <a:cs typeface="Calibri"/>
            </a:rPr>
            <a:t>Category Performance</a:t>
          </a:r>
        </a:p>
      </xdr:txBody>
    </xdr:sp>
    <xdr:clientData/>
  </xdr:twoCellAnchor>
  <xdr:twoCellAnchor>
    <xdr:from>
      <xdr:col>1</xdr:col>
      <xdr:colOff>254000</xdr:colOff>
      <xdr:row>82</xdr:row>
      <xdr:rowOff>101600</xdr:rowOff>
    </xdr:from>
    <xdr:to>
      <xdr:col>3</xdr:col>
      <xdr:colOff>47733</xdr:colOff>
      <xdr:row>83</xdr:row>
      <xdr:rowOff>181188</xdr:rowOff>
    </xdr:to>
    <xdr:sp macro="" textlink="">
      <xdr:nvSpPr>
        <xdr:cNvPr id="9" name="Rectangle: Rounded Corners 8">
          <a:extLst>
            <a:ext uri="{FF2B5EF4-FFF2-40B4-BE49-F238E27FC236}">
              <a16:creationId xmlns:a16="http://schemas.microsoft.com/office/drawing/2014/main" id="{B1B1ED50-5B7C-45AD-9CA1-121D1D1F90F4}"/>
            </a:ext>
          </a:extLst>
        </xdr:cNvPr>
        <xdr:cNvSpPr/>
      </xdr:nvSpPr>
      <xdr:spPr>
        <a:xfrm>
          <a:off x="2108200" y="15527867"/>
          <a:ext cx="2520000" cy="265854"/>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400" b="1" i="0" u="none" strike="noStrike" kern="1200">
              <a:solidFill>
                <a:srgbClr val="000000"/>
              </a:solidFill>
              <a:latin typeface="Calibri"/>
              <a:ea typeface="Calibri"/>
              <a:cs typeface="Calibri"/>
            </a:rPr>
            <a:t>Top 10 Products</a:t>
          </a:r>
        </a:p>
      </xdr:txBody>
    </xdr:sp>
    <xdr:clientData/>
  </xdr:twoCellAnchor>
  <xdr:twoCellAnchor editAs="oneCell">
    <xdr:from>
      <xdr:col>7</xdr:col>
      <xdr:colOff>16933</xdr:colOff>
      <xdr:row>2</xdr:row>
      <xdr:rowOff>8468</xdr:rowOff>
    </xdr:from>
    <xdr:to>
      <xdr:col>10</xdr:col>
      <xdr:colOff>16933</xdr:colOff>
      <xdr:row>6</xdr:row>
      <xdr:rowOff>177801</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A1C04BB4-B50F-4C04-B5E3-C057C97D537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501466" y="533401"/>
              <a:ext cx="1828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16933</xdr:colOff>
      <xdr:row>8</xdr:row>
      <xdr:rowOff>16934</xdr:rowOff>
    </xdr:from>
    <xdr:to>
      <xdr:col>10</xdr:col>
      <xdr:colOff>16933</xdr:colOff>
      <xdr:row>13</xdr:row>
      <xdr:rowOff>0</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E98CE2FD-CD7D-4181-AECD-940999BA486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501466" y="1659467"/>
              <a:ext cx="1828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8467</xdr:colOff>
      <xdr:row>14</xdr:row>
      <xdr:rowOff>16934</xdr:rowOff>
    </xdr:from>
    <xdr:to>
      <xdr:col>10</xdr:col>
      <xdr:colOff>8467</xdr:colOff>
      <xdr:row>19</xdr:row>
      <xdr:rowOff>0</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DFE04D39-83A5-4413-A64D-F19DACB3B88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493000" y="2777067"/>
              <a:ext cx="1828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304800</xdr:colOff>
      <xdr:row>0</xdr:row>
      <xdr:rowOff>8464</xdr:rowOff>
    </xdr:from>
    <xdr:to>
      <xdr:col>6</xdr:col>
      <xdr:colOff>313267</xdr:colOff>
      <xdr:row>102</xdr:row>
      <xdr:rowOff>30304</xdr:rowOff>
    </xdr:to>
    <xdr:cxnSp macro="">
      <xdr:nvCxnSpPr>
        <xdr:cNvPr id="19" name="Straight Connector 18">
          <a:extLst>
            <a:ext uri="{FF2B5EF4-FFF2-40B4-BE49-F238E27FC236}">
              <a16:creationId xmlns:a16="http://schemas.microsoft.com/office/drawing/2014/main" id="{3F0CE87B-F99F-AD89-51D5-3781185623D1}"/>
            </a:ext>
          </a:extLst>
        </xdr:cNvPr>
        <xdr:cNvCxnSpPr/>
      </xdr:nvCxnSpPr>
      <xdr:spPr>
        <a:xfrm>
          <a:off x="7178040" y="8464"/>
          <a:ext cx="8467" cy="18828000"/>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312420</xdr:colOff>
      <xdr:row>0</xdr:row>
      <xdr:rowOff>0</xdr:rowOff>
    </xdr:from>
    <xdr:to>
      <xdr:col>10</xdr:col>
      <xdr:colOff>320887</xdr:colOff>
      <xdr:row>102</xdr:row>
      <xdr:rowOff>21840</xdr:rowOff>
    </xdr:to>
    <xdr:cxnSp macro="">
      <xdr:nvCxnSpPr>
        <xdr:cNvPr id="15" name="Straight Connector 14">
          <a:extLst>
            <a:ext uri="{FF2B5EF4-FFF2-40B4-BE49-F238E27FC236}">
              <a16:creationId xmlns:a16="http://schemas.microsoft.com/office/drawing/2014/main" id="{867858C7-3560-4E83-B75B-4A988738BE54}"/>
            </a:ext>
          </a:extLst>
        </xdr:cNvPr>
        <xdr:cNvCxnSpPr/>
      </xdr:nvCxnSpPr>
      <xdr:spPr>
        <a:xfrm>
          <a:off x="9624060" y="0"/>
          <a:ext cx="8467" cy="18828000"/>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15240</xdr:colOff>
      <xdr:row>102</xdr:row>
      <xdr:rowOff>22860</xdr:rowOff>
    </xdr:from>
    <xdr:to>
      <xdr:col>10</xdr:col>
      <xdr:colOff>327660</xdr:colOff>
      <xdr:row>102</xdr:row>
      <xdr:rowOff>22860</xdr:rowOff>
    </xdr:to>
    <xdr:cxnSp macro="">
      <xdr:nvCxnSpPr>
        <xdr:cNvPr id="21" name="Straight Connector 20">
          <a:extLst>
            <a:ext uri="{FF2B5EF4-FFF2-40B4-BE49-F238E27FC236}">
              <a16:creationId xmlns:a16="http://schemas.microsoft.com/office/drawing/2014/main" id="{03DB54E6-E8E9-DC72-7382-51239652F62D}"/>
            </a:ext>
          </a:extLst>
        </xdr:cNvPr>
        <xdr:cNvCxnSpPr/>
      </xdr:nvCxnSpPr>
      <xdr:spPr>
        <a:xfrm>
          <a:off x="15240" y="18829020"/>
          <a:ext cx="962406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15240</xdr:colOff>
      <xdr:row>0</xdr:row>
      <xdr:rowOff>0</xdr:rowOff>
    </xdr:from>
    <xdr:to>
      <xdr:col>0</xdr:col>
      <xdr:colOff>23707</xdr:colOff>
      <xdr:row>102</xdr:row>
      <xdr:rowOff>21840</xdr:rowOff>
    </xdr:to>
    <xdr:cxnSp macro="">
      <xdr:nvCxnSpPr>
        <xdr:cNvPr id="28" name="Straight Connector 27">
          <a:extLst>
            <a:ext uri="{FF2B5EF4-FFF2-40B4-BE49-F238E27FC236}">
              <a16:creationId xmlns:a16="http://schemas.microsoft.com/office/drawing/2014/main" id="{81B2A95D-0F45-482A-9BC0-F86BF9DD768B}"/>
            </a:ext>
          </a:extLst>
        </xdr:cNvPr>
        <xdr:cNvCxnSpPr/>
      </xdr:nvCxnSpPr>
      <xdr:spPr>
        <a:xfrm>
          <a:off x="15240" y="0"/>
          <a:ext cx="8467" cy="18828000"/>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15240</xdr:colOff>
      <xdr:row>0</xdr:row>
      <xdr:rowOff>15240</xdr:rowOff>
    </xdr:from>
    <xdr:to>
      <xdr:col>10</xdr:col>
      <xdr:colOff>327660</xdr:colOff>
      <xdr:row>0</xdr:row>
      <xdr:rowOff>15240</xdr:rowOff>
    </xdr:to>
    <xdr:cxnSp macro="">
      <xdr:nvCxnSpPr>
        <xdr:cNvPr id="29" name="Straight Connector 28">
          <a:extLst>
            <a:ext uri="{FF2B5EF4-FFF2-40B4-BE49-F238E27FC236}">
              <a16:creationId xmlns:a16="http://schemas.microsoft.com/office/drawing/2014/main" id="{4070C0B1-883E-4E68-AA68-21FC151428A5}"/>
            </a:ext>
          </a:extLst>
        </xdr:cNvPr>
        <xdr:cNvCxnSpPr/>
      </xdr:nvCxnSpPr>
      <xdr:spPr>
        <a:xfrm>
          <a:off x="15240" y="15240"/>
          <a:ext cx="962406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60960</xdr:colOff>
      <xdr:row>64</xdr:row>
      <xdr:rowOff>9524</xdr:rowOff>
    </xdr:from>
    <xdr:to>
      <xdr:col>5</xdr:col>
      <xdr:colOff>358710</xdr:colOff>
      <xdr:row>80</xdr:row>
      <xdr:rowOff>11924</xdr:rowOff>
    </xdr:to>
    <xdr:graphicFrame macro="">
      <xdr:nvGraphicFramePr>
        <xdr:cNvPr id="40" name="CategoryShare2">
          <a:extLst>
            <a:ext uri="{FF2B5EF4-FFF2-40B4-BE49-F238E27FC236}">
              <a16:creationId xmlns:a16="http://schemas.microsoft.com/office/drawing/2014/main" id="{D0ACAE3E-748C-3677-4E2C-924C01B82D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000100630" refreshedDate="45917.807672222225" createdVersion="8" refreshedVersion="8" minRefreshableVersion="3" recordCount="500" xr:uid="{02E63BA4-666F-4BA0-B38C-4A98DA1D425E}">
  <cacheSource type="worksheet">
    <worksheetSource name="SalesData"/>
  </cacheSource>
  <cacheFields count="14">
    <cacheField name="OrderID" numFmtId="0">
      <sharedItems/>
    </cacheField>
    <cacheField name="OrderDate" numFmtId="164">
      <sharedItems containsSemiMixedTypes="0" containsNonDate="0" containsDate="1" containsString="0" minDate="2024-01-01T00:00:00" maxDate="2025-08-27T00:00:00"/>
    </cacheField>
    <cacheField name="Region" numFmtId="0">
      <sharedItems/>
    </cacheField>
    <cacheField name="State" numFmtId="0">
      <sharedItems/>
    </cacheField>
    <cacheField name="City" numFmtId="0">
      <sharedItems/>
    </cacheField>
    <cacheField name="Category" numFmtId="0">
      <sharedItems/>
    </cacheField>
    <cacheField name="Product" numFmtId="0">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65.069999999999993" maxValue="79956.06"/>
    </cacheField>
    <cacheField name="Discount" numFmtId="0">
      <sharedItems containsSemiMixedTypes="0" containsString="0" containsNumber="1" minValue="0" maxValue="0.15"/>
    </cacheField>
    <cacheField name="Sales" numFmtId="0">
      <sharedItems containsSemiMixedTypes="0" containsString="0" containsNumber="1" minValue="139.65" maxValue="317796.8"/>
    </cacheField>
    <cacheField name="Cost" numFmtId="0">
      <sharedItems containsSemiMixedTypes="0" containsString="0" containsNumber="1" minValue="107.39" maxValue="244067.94"/>
    </cacheField>
    <cacheField name="Profit" numFmtId="0">
      <sharedItems containsSemiMixedTypes="0" containsString="0" containsNumber="1" minValue="12.87" maxValue="82141.8"/>
    </cacheField>
    <cacheField name="Profit Margin" numFmtId="0" formula="Profit/Sales"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000100630" refreshedDate="45939.809750578701" createdVersion="8" refreshedVersion="8" minRefreshableVersion="3" recordCount="500" xr:uid="{C215AB19-CE39-4949-84E4-99BBEEF88E94}">
  <cacheSource type="worksheet">
    <worksheetSource name="CleanedSalesData"/>
  </cacheSource>
  <cacheFields count="16">
    <cacheField name="OrderID" numFmtId="0">
      <sharedItems/>
    </cacheField>
    <cacheField name="OrderDate" numFmtId="14">
      <sharedItems containsSemiMixedTypes="0" containsNonDate="0" containsDate="1" containsString="0" minDate="2024-01-01T00:00:00" maxDate="2025-08-27T00:00:00"/>
    </cacheField>
    <cacheField name="Region" numFmtId="0">
      <sharedItems count="5">
        <s v="East"/>
        <s v="North"/>
        <s v="West"/>
        <s v="South"/>
        <s v="Central"/>
      </sharedItems>
    </cacheField>
    <cacheField name="State" numFmtId="0">
      <sharedItems/>
    </cacheField>
    <cacheField name="City" numFmtId="0">
      <sharedItems/>
    </cacheField>
    <cacheField name="Category" numFmtId="0">
      <sharedItems count="3">
        <s v="Technology"/>
        <s v="Office Supplies"/>
        <s v="Furniture"/>
      </sharedItems>
    </cacheField>
    <cacheField name="Product" numFmtId="0">
      <sharedItems count="15">
        <s v="Monitor"/>
        <s v="Laptop"/>
        <s v="Router"/>
        <s v="Pens"/>
        <s v="Printer"/>
        <s v="Headset"/>
        <s v="Bookcase"/>
        <s v="Cabinet"/>
        <s v="Desk"/>
        <s v="Stapler"/>
        <s v="Table"/>
        <s v="Chair"/>
        <s v="Envelopes"/>
        <s v="Folders"/>
        <s v="Paper"/>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65.069999999999993" maxValue="79956.06"/>
    </cacheField>
    <cacheField name="Discount" numFmtId="0">
      <sharedItems containsSemiMixedTypes="0" containsString="0" containsNumber="1" minValue="0" maxValue="0.15"/>
    </cacheField>
    <cacheField name="Sales" numFmtId="0">
      <sharedItems containsSemiMixedTypes="0" containsString="0" containsNumber="1" minValue="139.65" maxValue="317796.8"/>
    </cacheField>
    <cacheField name="Cost" numFmtId="0">
      <sharedItems containsSemiMixedTypes="0" containsString="0" containsNumber="1" minValue="107.39" maxValue="244067.94"/>
    </cacheField>
    <cacheField name="Profit" numFmtId="0">
      <sharedItems containsSemiMixedTypes="0" containsString="0" containsNumber="1" minValue="12.87" maxValue="82141.8"/>
    </cacheField>
    <cacheField name="Year" numFmtId="0">
      <sharedItems containsSemiMixedTypes="0" containsString="0" containsNumber="1" containsInteger="1" minValue="2024" maxValue="2025" count="2">
        <n v="2024"/>
        <n v="2025"/>
      </sharedItems>
    </cacheField>
    <cacheField name="Month" numFmtId="0">
      <sharedItems containsSemiMixedTypes="0" containsString="0" containsNumber="1" containsInteger="1" minValue="1" maxValue="12"/>
    </cacheField>
    <cacheField name="YearMonth" numFmtId="0">
      <sharedItems count="20">
        <s v="2024-04"/>
        <s v="2025-07"/>
        <s v="2024-01"/>
        <s v="2024-12"/>
        <s v="2024-02"/>
        <s v="2025-01"/>
        <s v="2024-08"/>
        <s v="2024-09"/>
        <s v="2025-02"/>
        <s v="2025-04"/>
        <s v="2025-03"/>
        <s v="2024-07"/>
        <s v="2025-05"/>
        <s v="2024-03"/>
        <s v="2024-11"/>
        <s v="2025-08"/>
        <s v="2024-05"/>
        <s v="2025-06"/>
        <s v="2024-06"/>
        <s v="2024-10"/>
      </sharedItems>
    </cacheField>
  </cacheFields>
  <extLst>
    <ext xmlns:x14="http://schemas.microsoft.com/office/spreadsheetml/2009/9/main" uri="{725AE2AE-9491-48be-B2B4-4EB974FC3084}">
      <x14:pivotCacheDefinition pivotCacheId="15257981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00"/>
    <d v="2024-04-24T00:00:00"/>
    <s v="East"/>
    <s v="Odisha"/>
    <s v="Bhubaneswar"/>
    <s v="Technology"/>
    <s v="Monitor"/>
    <n v="1"/>
    <n v="59708.28"/>
    <n v="0"/>
    <n v="59708.28"/>
    <n v="39706.01"/>
    <n v="20002.27"/>
  </r>
  <r>
    <s v="ORD10001"/>
    <d v="2025-07-12T00:00:00"/>
    <s v="East"/>
    <s v="Jharkhand"/>
    <s v="Ranchi"/>
    <s v="Technology"/>
    <s v="Laptop"/>
    <n v="2"/>
    <n v="19835.12"/>
    <n v="0"/>
    <n v="39670.239999999998"/>
    <n v="30546.080000000002"/>
    <n v="9124.16"/>
  </r>
  <r>
    <s v="ORD10002"/>
    <d v="2024-01-28T00:00:00"/>
    <s v="North"/>
    <s v="Punjab"/>
    <s v="Ludhiana"/>
    <s v="Technology"/>
    <s v="Router"/>
    <n v="1"/>
    <n v="48373.46"/>
    <n v="0"/>
    <n v="48373.46"/>
    <n v="43681.23"/>
    <n v="4692.2299999999996"/>
  </r>
  <r>
    <s v="ORD10003"/>
    <d v="2024-01-07T00:00:00"/>
    <s v="West"/>
    <s v="Gujarat"/>
    <s v="Surat"/>
    <s v="Office Supplies"/>
    <s v="Pens"/>
    <n v="1"/>
    <n v="353.19"/>
    <n v="0"/>
    <n v="353.19"/>
    <n v="243.7"/>
    <n v="109.49"/>
  </r>
  <r>
    <s v="ORD10004"/>
    <d v="2024-12-10T00:00:00"/>
    <s v="East"/>
    <s v="Bengal"/>
    <s v="Siliguri"/>
    <s v="Technology"/>
    <s v="Printer"/>
    <n v="1"/>
    <n v="68257.070000000007"/>
    <n v="0"/>
    <n v="68257.070000000007"/>
    <n v="50373.72"/>
    <n v="17883.349999999999"/>
  </r>
  <r>
    <s v="ORD10005"/>
    <d v="2024-02-14T00:00:00"/>
    <s v="South"/>
    <s v="Karnataka"/>
    <s v="Mysuru"/>
    <s v="Technology"/>
    <s v="Headset"/>
    <n v="1"/>
    <n v="25574.73"/>
    <n v="0"/>
    <n v="25574.73"/>
    <n v="16853.75"/>
    <n v="8720.98"/>
  </r>
  <r>
    <s v="ORD10006"/>
    <d v="2025-01-05T00:00:00"/>
    <s v="North"/>
    <s v="Punjab"/>
    <s v="Amritsar"/>
    <s v="Technology"/>
    <s v="Monitor"/>
    <n v="2"/>
    <n v="62526.26"/>
    <n v="0"/>
    <n v="125052.52"/>
    <n v="110796.53"/>
    <n v="14255.99"/>
  </r>
  <r>
    <s v="ORD10007"/>
    <d v="2024-08-26T00:00:00"/>
    <s v="East"/>
    <s v="Jharkhand"/>
    <s v="Jamshedpur"/>
    <s v="Office Supplies"/>
    <s v="Pens"/>
    <n v="1"/>
    <n v="367.18"/>
    <n v="0"/>
    <n v="367.18"/>
    <n v="328.63"/>
    <n v="38.549999999999997"/>
  </r>
  <r>
    <s v="ORD10008"/>
    <d v="2024-09-30T00:00:00"/>
    <s v="East"/>
    <s v="Assam"/>
    <s v="Guwahati"/>
    <s v="Technology"/>
    <s v="Router"/>
    <n v="1"/>
    <n v="32218.07"/>
    <n v="0"/>
    <n v="32218.07"/>
    <n v="25548.93"/>
    <n v="6669.14"/>
  </r>
  <r>
    <s v="ORD10009"/>
    <d v="2025-07-24T00:00:00"/>
    <s v="West"/>
    <s v="Gujarat"/>
    <s v="Surat"/>
    <s v="Technology"/>
    <s v="Monitor"/>
    <n v="1"/>
    <n v="66278.8"/>
    <n v="0"/>
    <n v="66278.8"/>
    <n v="57198.6"/>
    <n v="9080.2000000000007"/>
  </r>
  <r>
    <s v="ORD10010"/>
    <d v="2025-02-14T00:00:00"/>
    <s v="Central"/>
    <s v="Madhya Pradesh"/>
    <s v="Bhopal"/>
    <s v="Furniture"/>
    <s v="Bookcase"/>
    <n v="1"/>
    <n v="6890.41"/>
    <n v="0"/>
    <n v="6890.41"/>
    <n v="6256.49"/>
    <n v="633.91999999999996"/>
  </r>
  <r>
    <s v="ORD10011"/>
    <d v="2025-04-14T00:00:00"/>
    <s v="West"/>
    <s v="Goa"/>
    <s v="Panaji"/>
    <s v="Technology"/>
    <s v="Headset"/>
    <n v="1"/>
    <n v="44501.25"/>
    <n v="0"/>
    <n v="44501.25"/>
    <n v="37381.050000000003"/>
    <n v="7120.2"/>
  </r>
  <r>
    <s v="ORD10012"/>
    <d v="2025-03-14T00:00:00"/>
    <s v="North"/>
    <s v="Uttar Pradesh"/>
    <s v="Kanpur"/>
    <s v="Technology"/>
    <s v="Monitor"/>
    <n v="1"/>
    <n v="42233.52"/>
    <n v="0.05"/>
    <n v="40121.839999999997"/>
    <n v="28646.99"/>
    <n v="11474.85"/>
  </r>
  <r>
    <s v="ORD10013"/>
    <d v="2024-04-22T00:00:00"/>
    <s v="West"/>
    <s v="Gujarat"/>
    <s v="Ahmedabad"/>
    <s v="Furniture"/>
    <s v="Cabinet"/>
    <n v="1"/>
    <n v="15717.41"/>
    <n v="0"/>
    <n v="15717.41"/>
    <n v="12511.06"/>
    <n v="3206.35"/>
  </r>
  <r>
    <s v="ORD10014"/>
    <d v="2025-04-24T00:00:00"/>
    <s v="North"/>
    <s v="Haryana"/>
    <s v="Gurugram"/>
    <s v="Furniture"/>
    <s v="Desk"/>
    <n v="1"/>
    <n v="17679.34"/>
    <n v="0"/>
    <n v="17679.34"/>
    <n v="16547.86"/>
    <n v="1131.48"/>
  </r>
  <r>
    <s v="ORD10015"/>
    <d v="2024-09-30T00:00:00"/>
    <s v="Central"/>
    <s v="Madhya Pradesh"/>
    <s v="Indore"/>
    <s v="Office Supplies"/>
    <s v="Stapler"/>
    <n v="1"/>
    <n v="934.76"/>
    <n v="0"/>
    <n v="934.76"/>
    <n v="840.35"/>
    <n v="94.41"/>
  </r>
  <r>
    <s v="ORD10016"/>
    <d v="2024-09-26T00:00:00"/>
    <s v="North"/>
    <s v="Punjab"/>
    <s v="Amritsar"/>
    <s v="Furniture"/>
    <s v="Bookcase"/>
    <n v="1"/>
    <n v="21358.400000000001"/>
    <n v="0"/>
    <n v="21358.400000000001"/>
    <n v="14203.34"/>
    <n v="7155.06"/>
  </r>
  <r>
    <s v="ORD10017"/>
    <d v="2024-07-22T00:00:00"/>
    <s v="West"/>
    <s v="Goa"/>
    <s v="Panaji"/>
    <s v="Furniture"/>
    <s v="Table"/>
    <n v="4"/>
    <n v="23125.35"/>
    <n v="0"/>
    <n v="92501.4"/>
    <n v="65398.49"/>
    <n v="27102.91"/>
  </r>
  <r>
    <s v="ORD10018"/>
    <d v="2025-05-15T00:00:00"/>
    <s v="East"/>
    <s v="Bengal"/>
    <s v="Siliguri"/>
    <s v="Office Supplies"/>
    <s v="Stapler"/>
    <n v="1"/>
    <n v="162.94999999999999"/>
    <n v="0"/>
    <n v="162.94999999999999"/>
    <n v="150.08000000000001"/>
    <n v="12.87"/>
  </r>
  <r>
    <s v="ORD10019"/>
    <d v="2024-03-21T00:00:00"/>
    <s v="East"/>
    <s v="Jharkhand"/>
    <s v="Ranchi"/>
    <s v="Furniture"/>
    <s v="Chair"/>
    <n v="2"/>
    <n v="4953"/>
    <n v="0"/>
    <n v="9906"/>
    <n v="8103.11"/>
    <n v="1802.89"/>
  </r>
  <r>
    <s v="ORD10020"/>
    <d v="2025-07-16T00:00:00"/>
    <s v="West"/>
    <s v="Goa"/>
    <s v="Margao"/>
    <s v="Technology"/>
    <s v="Headset"/>
    <n v="1"/>
    <n v="61155.42"/>
    <n v="0"/>
    <n v="61155.42"/>
    <n v="48985.49"/>
    <n v="12169.93"/>
  </r>
  <r>
    <s v="ORD10021"/>
    <d v="2024-11-15T00:00:00"/>
    <s v="South"/>
    <s v="Kerala"/>
    <s v="Thiruvananthapuram"/>
    <s v="Furniture"/>
    <s v="Cabinet"/>
    <n v="1"/>
    <n v="4783.1000000000004"/>
    <n v="0"/>
    <n v="4783.1000000000004"/>
    <n v="3238.16"/>
    <n v="1544.94"/>
  </r>
  <r>
    <s v="ORD10022"/>
    <d v="2024-12-12T00:00:00"/>
    <s v="East"/>
    <s v="Assam"/>
    <s v="Guwahati"/>
    <s v="Technology"/>
    <s v="Laptop"/>
    <n v="1"/>
    <n v="57503.75"/>
    <n v="0.05"/>
    <n v="54628.56"/>
    <n v="41026.050000000003"/>
    <n v="13602.51"/>
  </r>
  <r>
    <s v="ORD10023"/>
    <d v="2024-02-02T00:00:00"/>
    <s v="Central"/>
    <s v="Madhya Pradesh"/>
    <s v="Bhopal"/>
    <s v="Office Supplies"/>
    <s v="Envelopes"/>
    <n v="1"/>
    <n v="467.76"/>
    <n v="0.15"/>
    <n v="397.6"/>
    <n v="315.69"/>
    <n v="81.91"/>
  </r>
  <r>
    <s v="ORD10024"/>
    <d v="2025-08-13T00:00:00"/>
    <s v="South"/>
    <s v="Tamil Nadu"/>
    <s v="Coimbatore"/>
    <s v="Office Supplies"/>
    <s v="Stapler"/>
    <n v="1"/>
    <n v="233.94"/>
    <n v="0"/>
    <n v="233.94"/>
    <n v="209.38"/>
    <n v="24.56"/>
  </r>
  <r>
    <s v="ORD10025"/>
    <d v="2024-12-28T00:00:00"/>
    <s v="South"/>
    <s v="Andhra Pradesh"/>
    <s v="Visakhapatnam"/>
    <s v="Furniture"/>
    <s v="Desk"/>
    <n v="4"/>
    <n v="17487.38"/>
    <n v="0"/>
    <n v="69949.52"/>
    <n v="50153.81"/>
    <n v="19795.71"/>
  </r>
  <r>
    <s v="ORD10026"/>
    <d v="2024-04-10T00:00:00"/>
    <s v="East"/>
    <s v="Jharkhand"/>
    <s v="Jamshedpur"/>
    <s v="Technology"/>
    <s v="Monitor"/>
    <n v="4"/>
    <n v="17752.439999999999"/>
    <n v="0"/>
    <n v="71009.759999999995"/>
    <n v="48428.66"/>
    <n v="22581.1"/>
  </r>
  <r>
    <s v="ORD10027"/>
    <d v="2024-05-23T00:00:00"/>
    <s v="South"/>
    <s v="Tamil Nadu"/>
    <s v="Coimbatore"/>
    <s v="Office Supplies"/>
    <s v="Stapler"/>
    <n v="1"/>
    <n v="1755.25"/>
    <n v="0.15"/>
    <n v="1491.96"/>
    <n v="1004.09"/>
    <n v="487.87"/>
  </r>
  <r>
    <s v="ORD10028"/>
    <d v="2024-04-10T00:00:00"/>
    <s v="East"/>
    <s v="Bengal"/>
    <s v="Kolkata"/>
    <s v="Technology"/>
    <s v="Monitor"/>
    <n v="1"/>
    <n v="34293.879999999997"/>
    <n v="0"/>
    <n v="34293.879999999997"/>
    <n v="30555.85"/>
    <n v="3738.03"/>
  </r>
  <r>
    <s v="ORD10029"/>
    <d v="2025-02-14T00:00:00"/>
    <s v="East"/>
    <s v="Assam"/>
    <s v="Dibrugarh"/>
    <s v="Technology"/>
    <s v="Router"/>
    <n v="1"/>
    <n v="23420.639999999999"/>
    <n v="0"/>
    <n v="23420.639999999999"/>
    <n v="19954.39"/>
    <n v="3466.25"/>
  </r>
  <r>
    <s v="ORD10030"/>
    <d v="2025-04-10T00:00:00"/>
    <s v="Central"/>
    <s v="Chhattisgarh"/>
    <s v="Bilaspur"/>
    <s v="Technology"/>
    <s v="Monitor"/>
    <n v="1"/>
    <n v="25846.5"/>
    <n v="0"/>
    <n v="25846.5"/>
    <n v="22460.61"/>
    <n v="3385.89"/>
  </r>
  <r>
    <s v="ORD10031"/>
    <d v="2025-08-16T00:00:00"/>
    <s v="North"/>
    <s v="Delhi"/>
    <s v="New Delhi"/>
    <s v="Technology"/>
    <s v="Laptop"/>
    <n v="2"/>
    <n v="47981.67"/>
    <n v="0"/>
    <n v="95963.34"/>
    <n v="80897.100000000006"/>
    <n v="15066.24"/>
  </r>
  <r>
    <s v="ORD10032"/>
    <d v="2025-06-27T00:00:00"/>
    <s v="West"/>
    <s v="Maharashtra"/>
    <s v="Mumbai"/>
    <s v="Technology"/>
    <s v="Laptop"/>
    <n v="1"/>
    <n v="48817.7"/>
    <n v="0"/>
    <n v="48817.7"/>
    <n v="38419.53"/>
    <n v="10398.17"/>
  </r>
  <r>
    <s v="ORD10033"/>
    <d v="2024-08-28T00:00:00"/>
    <s v="South"/>
    <s v="Karnataka"/>
    <s v="Bengaluru"/>
    <s v="Furniture"/>
    <s v="Table"/>
    <n v="1"/>
    <n v="2914.06"/>
    <n v="0.15"/>
    <n v="2476.9499999999998"/>
    <n v="1756.16"/>
    <n v="720.79"/>
  </r>
  <r>
    <s v="ORD10034"/>
    <d v="2025-08-20T00:00:00"/>
    <s v="North"/>
    <s v="Haryana"/>
    <s v="Faridabad"/>
    <s v="Technology"/>
    <s v="Printer"/>
    <n v="1"/>
    <n v="21378.82"/>
    <n v="0"/>
    <n v="21378.82"/>
    <n v="13981.75"/>
    <n v="7397.07"/>
  </r>
  <r>
    <s v="ORD10035"/>
    <d v="2024-11-03T00:00:00"/>
    <s v="South"/>
    <s v="Kerala"/>
    <s v="Kochi"/>
    <s v="Technology"/>
    <s v="Router"/>
    <n v="2"/>
    <n v="50829.26"/>
    <n v="0"/>
    <n v="101658.52"/>
    <n v="90476.08"/>
    <n v="11182.44"/>
  </r>
  <r>
    <s v="ORD10036"/>
    <d v="2024-04-12T00:00:00"/>
    <s v="East"/>
    <s v="Assam"/>
    <s v="Dibrugarh"/>
    <s v="Technology"/>
    <s v="Printer"/>
    <n v="1"/>
    <n v="70826.539999999994"/>
    <n v="0"/>
    <n v="70826.539999999994"/>
    <n v="49932.71"/>
    <n v="20893.830000000002"/>
  </r>
  <r>
    <s v="ORD10037"/>
    <d v="2025-01-13T00:00:00"/>
    <s v="Central"/>
    <s v="Madhya Pradesh"/>
    <s v="Indore"/>
    <s v="Furniture"/>
    <s v="Bookcase"/>
    <n v="2"/>
    <n v="16068.59"/>
    <n v="0"/>
    <n v="32137.18"/>
    <n v="23492.28"/>
    <n v="8644.9"/>
  </r>
  <r>
    <s v="ORD10038"/>
    <d v="2025-06-25T00:00:00"/>
    <s v="East"/>
    <s v="Odisha"/>
    <s v="Bhubaneswar"/>
    <s v="Technology"/>
    <s v="Printer"/>
    <n v="2"/>
    <n v="11888.01"/>
    <n v="0.15"/>
    <n v="20209.62"/>
    <n v="18754.53"/>
    <n v="1455.09"/>
  </r>
  <r>
    <s v="ORD10039"/>
    <d v="2024-06-08T00:00:00"/>
    <s v="Central"/>
    <s v="Chhattisgarh"/>
    <s v="Raipur"/>
    <s v="Furniture"/>
    <s v="Bookcase"/>
    <n v="1"/>
    <n v="6682.74"/>
    <n v="0"/>
    <n v="6682.74"/>
    <n v="6114.71"/>
    <n v="568.03"/>
  </r>
  <r>
    <s v="ORD10040"/>
    <d v="2024-09-27T00:00:00"/>
    <s v="North"/>
    <s v="Uttar Pradesh"/>
    <s v="Kanpur"/>
    <s v="Technology"/>
    <s v="Laptop"/>
    <n v="3"/>
    <n v="51839.9"/>
    <n v="0"/>
    <n v="155519.70000000001"/>
    <n v="118661.53"/>
    <n v="36858.17"/>
  </r>
  <r>
    <s v="ORD10041"/>
    <d v="2024-02-15T00:00:00"/>
    <s v="East"/>
    <s v="Odisha"/>
    <s v="Bhubaneswar"/>
    <s v="Furniture"/>
    <s v="Bookcase"/>
    <n v="1"/>
    <n v="5716.39"/>
    <n v="0"/>
    <n v="5716.39"/>
    <n v="5321.96"/>
    <n v="394.43"/>
  </r>
  <r>
    <s v="ORD10042"/>
    <d v="2025-03-13T00:00:00"/>
    <s v="North"/>
    <s v="Delhi"/>
    <s v="New Delhi"/>
    <s v="Technology"/>
    <s v="Monitor"/>
    <n v="1"/>
    <n v="45010.45"/>
    <n v="0"/>
    <n v="45010.45"/>
    <n v="38348.9"/>
    <n v="6661.55"/>
  </r>
  <r>
    <s v="ORD10043"/>
    <d v="2025-08-19T00:00:00"/>
    <s v="North"/>
    <s v="Punjab"/>
    <s v="Ludhiana"/>
    <s v="Technology"/>
    <s v="Laptop"/>
    <n v="2"/>
    <n v="26735.89"/>
    <n v="0"/>
    <n v="53471.78"/>
    <n v="40585.08"/>
    <n v="12886.7"/>
  </r>
  <r>
    <s v="ORD10044"/>
    <d v="2024-02-10T00:00:00"/>
    <s v="Central"/>
    <s v="Madhya Pradesh"/>
    <s v="Bhopal"/>
    <s v="Furniture"/>
    <s v="Desk"/>
    <n v="3"/>
    <n v="10134.61"/>
    <n v="0"/>
    <n v="30403.83"/>
    <n v="24566.29"/>
    <n v="5837.54"/>
  </r>
  <r>
    <s v="ORD10045"/>
    <d v="2025-02-20T00:00:00"/>
    <s v="North"/>
    <s v="Punjab"/>
    <s v="Amritsar"/>
    <s v="Technology"/>
    <s v="Monitor"/>
    <n v="1"/>
    <n v="70869.05"/>
    <n v="0.15"/>
    <n v="60238.69"/>
    <n v="44335.68"/>
    <n v="15903.01"/>
  </r>
  <r>
    <s v="ORD10046"/>
    <d v="2024-12-06T00:00:00"/>
    <s v="South"/>
    <s v="Tamil Nadu"/>
    <s v="Coimbatore"/>
    <s v="Technology"/>
    <s v="Laptop"/>
    <n v="2"/>
    <n v="32455.71"/>
    <n v="0.1"/>
    <n v="58420.28"/>
    <n v="45684.66"/>
    <n v="12735.62"/>
  </r>
  <r>
    <s v="ORD10047"/>
    <d v="2024-08-15T00:00:00"/>
    <s v="West"/>
    <s v="Goa"/>
    <s v="Margao"/>
    <s v="Office Supplies"/>
    <s v="Stapler"/>
    <n v="2"/>
    <n v="484.7"/>
    <n v="0"/>
    <n v="969.4"/>
    <n v="777.46"/>
    <n v="191.94"/>
  </r>
  <r>
    <s v="ORD10048"/>
    <d v="2025-02-12T00:00:00"/>
    <s v="Central"/>
    <s v="Chhattisgarh"/>
    <s v="Raipur"/>
    <s v="Office Supplies"/>
    <s v="Pens"/>
    <n v="1"/>
    <n v="1300.8900000000001"/>
    <n v="0"/>
    <n v="1300.8900000000001"/>
    <n v="1069.33"/>
    <n v="231.56"/>
  </r>
  <r>
    <s v="ORD10049"/>
    <d v="2025-07-03T00:00:00"/>
    <s v="Central"/>
    <s v="Madhya Pradesh"/>
    <s v="Bhopal"/>
    <s v="Office Supplies"/>
    <s v="Stapler"/>
    <n v="1"/>
    <n v="1182.1500000000001"/>
    <n v="0"/>
    <n v="1182.1500000000001"/>
    <n v="1085.21"/>
    <n v="96.94"/>
  </r>
  <r>
    <s v="ORD10050"/>
    <d v="2024-02-09T00:00:00"/>
    <s v="East"/>
    <s v="Jharkhand"/>
    <s v="Jamshedpur"/>
    <s v="Furniture"/>
    <s v="Bookcase"/>
    <n v="1"/>
    <n v="12037.06"/>
    <n v="0"/>
    <n v="12037.06"/>
    <n v="9136.1299999999992"/>
    <n v="2900.93"/>
  </r>
  <r>
    <s v="ORD10051"/>
    <d v="2024-04-28T00:00:00"/>
    <s v="South"/>
    <s v="Tamil Nadu"/>
    <s v="Coimbatore"/>
    <s v="Technology"/>
    <s v="Router"/>
    <n v="1"/>
    <n v="3130.23"/>
    <n v="0"/>
    <n v="3130.23"/>
    <n v="2494.79"/>
    <n v="635.44000000000005"/>
  </r>
  <r>
    <s v="ORD10052"/>
    <d v="2025-07-05T00:00:00"/>
    <s v="West"/>
    <s v="Goa"/>
    <s v="Margao"/>
    <s v="Technology"/>
    <s v="Printer"/>
    <n v="3"/>
    <n v="50982.97"/>
    <n v="0"/>
    <n v="152948.91"/>
    <n v="133830.29999999999"/>
    <n v="19118.61"/>
  </r>
  <r>
    <s v="ORD10053"/>
    <d v="2024-05-07T00:00:00"/>
    <s v="Central"/>
    <s v="Chhattisgarh"/>
    <s v="Bilaspur"/>
    <s v="Office Supplies"/>
    <s v="Envelopes"/>
    <n v="1"/>
    <n v="1409.56"/>
    <n v="0"/>
    <n v="1409.56"/>
    <n v="1019.11"/>
    <n v="390.45"/>
  </r>
  <r>
    <s v="ORD10054"/>
    <d v="2024-07-15T00:00:00"/>
    <s v="South"/>
    <s v="Andhra Pradesh"/>
    <s v="Vijayawada"/>
    <s v="Furniture"/>
    <s v="Table"/>
    <n v="1"/>
    <n v="8921.85"/>
    <n v="0"/>
    <n v="8921.85"/>
    <n v="8270.5499999999993"/>
    <n v="651.29999999999995"/>
  </r>
  <r>
    <s v="ORD10055"/>
    <d v="2024-01-01T00:00:00"/>
    <s v="Central"/>
    <s v="Chhattisgarh"/>
    <s v="Raipur"/>
    <s v="Office Supplies"/>
    <s v="Folders"/>
    <n v="1"/>
    <n v="1232.99"/>
    <n v="0"/>
    <n v="1232.99"/>
    <n v="1112.1600000000001"/>
    <n v="120.83"/>
  </r>
  <r>
    <s v="ORD10056"/>
    <d v="2025-03-28T00:00:00"/>
    <s v="South"/>
    <s v="Tamil Nadu"/>
    <s v="Coimbatore"/>
    <s v="Furniture"/>
    <s v="Chair"/>
    <n v="3"/>
    <n v="17153.57"/>
    <n v="0"/>
    <n v="51460.71"/>
    <n v="36434.18"/>
    <n v="15026.53"/>
  </r>
  <r>
    <s v="ORD10057"/>
    <d v="2024-12-09T00:00:00"/>
    <s v="East"/>
    <s v="Assam"/>
    <s v="Dibrugarh"/>
    <s v="Technology"/>
    <s v="Monitor"/>
    <n v="1"/>
    <n v="14346.26"/>
    <n v="0.1"/>
    <n v="12911.63"/>
    <n v="8896.11"/>
    <n v="4015.52"/>
  </r>
  <r>
    <s v="ORD10058"/>
    <d v="2024-03-15T00:00:00"/>
    <s v="South"/>
    <s v="Andhra Pradesh"/>
    <s v="Vijayawada"/>
    <s v="Furniture"/>
    <s v="Cabinet"/>
    <n v="2"/>
    <n v="13370.67"/>
    <n v="0"/>
    <n v="26741.34"/>
    <n v="23906.76"/>
    <n v="2834.58"/>
  </r>
  <r>
    <s v="ORD10059"/>
    <d v="2024-01-06T00:00:00"/>
    <s v="East"/>
    <s v="Jharkhand"/>
    <s v="Ranchi"/>
    <s v="Technology"/>
    <s v="Headset"/>
    <n v="3"/>
    <n v="38770.339999999997"/>
    <n v="0"/>
    <n v="116311.02"/>
    <n v="91653.08"/>
    <n v="24657.94"/>
  </r>
  <r>
    <s v="ORD10060"/>
    <d v="2024-05-04T00:00:00"/>
    <s v="South"/>
    <s v="Tamil Nadu"/>
    <s v="Coimbatore"/>
    <s v="Furniture"/>
    <s v="Table"/>
    <n v="2"/>
    <n v="24721.53"/>
    <n v="0"/>
    <n v="49443.06"/>
    <n v="33670.720000000001"/>
    <n v="15772.34"/>
  </r>
  <r>
    <s v="ORD10061"/>
    <d v="2025-03-29T00:00:00"/>
    <s v="North"/>
    <s v="Uttar Pradesh"/>
    <s v="Kanpur"/>
    <s v="Technology"/>
    <s v="Router"/>
    <n v="1"/>
    <n v="37655.370000000003"/>
    <n v="0"/>
    <n v="37655.370000000003"/>
    <n v="34529.97"/>
    <n v="3125.4"/>
  </r>
  <r>
    <s v="ORD10062"/>
    <d v="2024-10-10T00:00:00"/>
    <s v="North"/>
    <s v="Uttar Pradesh"/>
    <s v="Lucknow"/>
    <s v="Office Supplies"/>
    <s v="Envelopes"/>
    <n v="1"/>
    <n v="201.09"/>
    <n v="0"/>
    <n v="201.09"/>
    <n v="165.3"/>
    <n v="35.79"/>
  </r>
  <r>
    <s v="ORD10063"/>
    <d v="2024-10-05T00:00:00"/>
    <s v="Central"/>
    <s v="Chhattisgarh"/>
    <s v="Raipur"/>
    <s v="Technology"/>
    <s v="Monitor"/>
    <n v="2"/>
    <n v="20807.13"/>
    <n v="0"/>
    <n v="41614.26"/>
    <n v="28797.07"/>
    <n v="12817.19"/>
  </r>
  <r>
    <s v="ORD10064"/>
    <d v="2024-08-07T00:00:00"/>
    <s v="East"/>
    <s v="Jharkhand"/>
    <s v="Jamshedpur"/>
    <s v="Office Supplies"/>
    <s v="Folders"/>
    <n v="1"/>
    <n v="958.55"/>
    <n v="0.1"/>
    <n v="862.69"/>
    <n v="687.56"/>
    <n v="175.13"/>
  </r>
  <r>
    <s v="ORD10065"/>
    <d v="2025-02-02T00:00:00"/>
    <s v="North"/>
    <s v="Delhi"/>
    <s v="New Delhi"/>
    <s v="Office Supplies"/>
    <s v="Paper"/>
    <n v="1"/>
    <n v="1888.35"/>
    <n v="0"/>
    <n v="1888.35"/>
    <n v="1667.41"/>
    <n v="220.94"/>
  </r>
  <r>
    <s v="ORD10066"/>
    <d v="2025-02-03T00:00:00"/>
    <s v="South"/>
    <s v="Tamil Nadu"/>
    <s v="Coimbatore"/>
    <s v="Technology"/>
    <s v="Printer"/>
    <n v="1"/>
    <n v="36559.370000000003"/>
    <n v="0.1"/>
    <n v="32903.43"/>
    <n v="27935.01"/>
    <n v="4968.42"/>
  </r>
  <r>
    <s v="ORD10067"/>
    <d v="2025-02-18T00:00:00"/>
    <s v="West"/>
    <s v="Goa"/>
    <s v="Panaji"/>
    <s v="Furniture"/>
    <s v="Table"/>
    <n v="4"/>
    <n v="2620.23"/>
    <n v="0"/>
    <n v="10480.92"/>
    <n v="8940.2199999999993"/>
    <n v="1540.7"/>
  </r>
  <r>
    <s v="ORD10068"/>
    <d v="2025-07-31T00:00:00"/>
    <s v="East"/>
    <s v="Bengal"/>
    <s v="Siliguri"/>
    <s v="Technology"/>
    <s v="Router"/>
    <n v="1"/>
    <n v="16993.14"/>
    <n v="0"/>
    <n v="16993.14"/>
    <n v="12557.93"/>
    <n v="4435.21"/>
  </r>
  <r>
    <s v="ORD10069"/>
    <d v="2024-12-01T00:00:00"/>
    <s v="West"/>
    <s v="Goa"/>
    <s v="Margao"/>
    <s v="Office Supplies"/>
    <s v="Envelopes"/>
    <n v="1"/>
    <n v="592.6"/>
    <n v="0"/>
    <n v="592.6"/>
    <n v="389.93"/>
    <n v="202.67"/>
  </r>
  <r>
    <s v="ORD10070"/>
    <d v="2025-03-07T00:00:00"/>
    <s v="Central"/>
    <s v="Madhya Pradesh"/>
    <s v="Indore"/>
    <s v="Technology"/>
    <s v="Headset"/>
    <n v="4"/>
    <n v="7010.59"/>
    <n v="0"/>
    <n v="28042.36"/>
    <n v="24509.02"/>
    <n v="3533.34"/>
  </r>
  <r>
    <s v="ORD10071"/>
    <d v="2024-08-17T00:00:00"/>
    <s v="East"/>
    <s v="Bengal"/>
    <s v="Kolkata"/>
    <s v="Technology"/>
    <s v="Monitor"/>
    <n v="1"/>
    <n v="67620.62"/>
    <n v="0"/>
    <n v="67620.62"/>
    <n v="58153.73"/>
    <n v="9466.89"/>
  </r>
  <r>
    <s v="ORD10072"/>
    <d v="2024-09-01T00:00:00"/>
    <s v="West"/>
    <s v="Goa"/>
    <s v="Panaji"/>
    <s v="Furniture"/>
    <s v="Chair"/>
    <n v="1"/>
    <n v="12695.78"/>
    <n v="0"/>
    <n v="12695.78"/>
    <n v="11921.34"/>
    <n v="774.44"/>
  </r>
  <r>
    <s v="ORD10073"/>
    <d v="2025-01-12T00:00:00"/>
    <s v="West"/>
    <s v="Gujarat"/>
    <s v="Ahmedabad"/>
    <s v="Technology"/>
    <s v="Printer"/>
    <n v="1"/>
    <n v="11323.6"/>
    <n v="0.1"/>
    <n v="10191.24"/>
    <n v="8142.8"/>
    <n v="2048.44"/>
  </r>
  <r>
    <s v="ORD10074"/>
    <d v="2025-08-12T00:00:00"/>
    <s v="South"/>
    <s v="Andhra Pradesh"/>
    <s v="Vijayawada"/>
    <s v="Technology"/>
    <s v="Headset"/>
    <n v="1"/>
    <n v="56177.31"/>
    <n v="0"/>
    <n v="56177.31"/>
    <n v="48649.55"/>
    <n v="7527.76"/>
  </r>
  <r>
    <s v="ORD10075"/>
    <d v="2024-04-14T00:00:00"/>
    <s v="Central"/>
    <s v="Madhya Pradesh"/>
    <s v="Bhopal"/>
    <s v="Office Supplies"/>
    <s v="Folders"/>
    <n v="3"/>
    <n v="885.34"/>
    <n v="0"/>
    <n v="2656.02"/>
    <n v="2331.9899999999998"/>
    <n v="324.02999999999997"/>
  </r>
  <r>
    <s v="ORD10076"/>
    <d v="2025-06-02T00:00:00"/>
    <s v="Central"/>
    <s v="Madhya Pradesh"/>
    <s v="Indore"/>
    <s v="Office Supplies"/>
    <s v="Paper"/>
    <n v="1"/>
    <n v="895.37"/>
    <n v="0"/>
    <n v="895.37"/>
    <n v="718.98"/>
    <n v="176.39"/>
  </r>
  <r>
    <s v="ORD10077"/>
    <d v="2025-04-15T00:00:00"/>
    <s v="West"/>
    <s v="Goa"/>
    <s v="Panaji"/>
    <s v="Furniture"/>
    <s v="Table"/>
    <n v="5"/>
    <n v="24205.9"/>
    <n v="0"/>
    <n v="121029.5"/>
    <n v="106142.87"/>
    <n v="14886.63"/>
  </r>
  <r>
    <s v="ORD10078"/>
    <d v="2025-07-05T00:00:00"/>
    <s v="South"/>
    <s v="Andhra Pradesh"/>
    <s v="Visakhapatnam"/>
    <s v="Furniture"/>
    <s v="Table"/>
    <n v="2"/>
    <n v="8173.1"/>
    <n v="0"/>
    <n v="16346.2"/>
    <n v="11801.96"/>
    <n v="4544.24"/>
  </r>
  <r>
    <s v="ORD10079"/>
    <d v="2024-03-29T00:00:00"/>
    <s v="Central"/>
    <s v="Chhattisgarh"/>
    <s v="Raipur"/>
    <s v="Office Supplies"/>
    <s v="Folders"/>
    <n v="1"/>
    <n v="1240.1500000000001"/>
    <n v="0"/>
    <n v="1240.1500000000001"/>
    <n v="907.79"/>
    <n v="332.36"/>
  </r>
  <r>
    <s v="ORD10080"/>
    <d v="2024-01-30T00:00:00"/>
    <s v="South"/>
    <s v="Kerala"/>
    <s v="Kochi"/>
    <s v="Office Supplies"/>
    <s v="Stapler"/>
    <n v="1"/>
    <n v="741.91"/>
    <n v="0"/>
    <n v="741.91"/>
    <n v="563.85"/>
    <n v="178.06"/>
  </r>
  <r>
    <s v="ORD10081"/>
    <d v="2024-10-13T00:00:00"/>
    <s v="North"/>
    <s v="Haryana"/>
    <s v="Gurugram"/>
    <s v="Furniture"/>
    <s v="Chair"/>
    <n v="1"/>
    <n v="3969.1"/>
    <n v="0"/>
    <n v="3969.1"/>
    <n v="3131.62"/>
    <n v="837.48"/>
  </r>
  <r>
    <s v="ORD10082"/>
    <d v="2025-05-15T00:00:00"/>
    <s v="North"/>
    <s v="Punjab"/>
    <s v="Ludhiana"/>
    <s v="Furniture"/>
    <s v="Cabinet"/>
    <n v="1"/>
    <n v="12308.01"/>
    <n v="0.1"/>
    <n v="11077.21"/>
    <n v="7742.97"/>
    <n v="3334.24"/>
  </r>
  <r>
    <s v="ORD10083"/>
    <d v="2024-08-14T00:00:00"/>
    <s v="South"/>
    <s v="Tamil Nadu"/>
    <s v="Coimbatore"/>
    <s v="Furniture"/>
    <s v="Table"/>
    <n v="1"/>
    <n v="10487.47"/>
    <n v="0"/>
    <n v="10487.47"/>
    <n v="9375.7999999999993"/>
    <n v="1111.67"/>
  </r>
  <r>
    <s v="ORD10084"/>
    <d v="2024-12-18T00:00:00"/>
    <s v="South"/>
    <s v="Kerala"/>
    <s v="Thiruvananthapuram"/>
    <s v="Furniture"/>
    <s v="Cabinet"/>
    <n v="1"/>
    <n v="8231.08"/>
    <n v="0"/>
    <n v="8231.08"/>
    <n v="6362.62"/>
    <n v="1868.46"/>
  </r>
  <r>
    <s v="ORD10085"/>
    <d v="2024-05-03T00:00:00"/>
    <s v="West"/>
    <s v="Goa"/>
    <s v="Panaji"/>
    <s v="Furniture"/>
    <s v="Table"/>
    <n v="2"/>
    <n v="23870.18"/>
    <n v="0"/>
    <n v="47740.36"/>
    <n v="45114.64"/>
    <n v="2625.72"/>
  </r>
  <r>
    <s v="ORD10086"/>
    <d v="2024-07-15T00:00:00"/>
    <s v="West"/>
    <s v="Gujarat"/>
    <s v="Surat"/>
    <s v="Office Supplies"/>
    <s v="Folders"/>
    <n v="1"/>
    <n v="1954.38"/>
    <n v="0"/>
    <n v="1954.38"/>
    <n v="1723.76"/>
    <n v="230.62"/>
  </r>
  <r>
    <s v="ORD10087"/>
    <d v="2024-10-16T00:00:00"/>
    <s v="East"/>
    <s v="Assam"/>
    <s v="Dibrugarh"/>
    <s v="Technology"/>
    <s v="Printer"/>
    <n v="1"/>
    <n v="16817"/>
    <n v="0.15"/>
    <n v="14294.45"/>
    <n v="12836.42"/>
    <n v="1458.03"/>
  </r>
  <r>
    <s v="ORD10088"/>
    <d v="2024-05-09T00:00:00"/>
    <s v="Central"/>
    <s v="Madhya Pradesh"/>
    <s v="Bhopal"/>
    <s v="Furniture"/>
    <s v="Bookcase"/>
    <n v="2"/>
    <n v="18040.599999999999"/>
    <n v="0.1"/>
    <n v="32473.08"/>
    <n v="27082.55"/>
    <n v="5390.53"/>
  </r>
  <r>
    <s v="ORD10089"/>
    <d v="2024-04-15T00:00:00"/>
    <s v="East"/>
    <s v="Odisha"/>
    <s v="Cuttack"/>
    <s v="Office Supplies"/>
    <s v="Envelopes"/>
    <n v="4"/>
    <n v="714.38"/>
    <n v="0"/>
    <n v="2857.52"/>
    <n v="2597.4899999999998"/>
    <n v="260.02999999999997"/>
  </r>
  <r>
    <s v="ORD10090"/>
    <d v="2024-09-15T00:00:00"/>
    <s v="South"/>
    <s v="Karnataka"/>
    <s v="Bengaluru"/>
    <s v="Office Supplies"/>
    <s v="Envelopes"/>
    <n v="1"/>
    <n v="194.46"/>
    <n v="0"/>
    <n v="194.46"/>
    <n v="178.13"/>
    <n v="16.329999999999998"/>
  </r>
  <r>
    <s v="ORD10091"/>
    <d v="2024-02-24T00:00:00"/>
    <s v="West"/>
    <s v="Maharashtra"/>
    <s v="Pune"/>
    <s v="Technology"/>
    <s v="Monitor"/>
    <n v="3"/>
    <n v="12120.77"/>
    <n v="0"/>
    <n v="36362.31"/>
    <n v="24980.91"/>
    <n v="11381.4"/>
  </r>
  <r>
    <s v="ORD10092"/>
    <d v="2024-08-19T00:00:00"/>
    <s v="North"/>
    <s v="Uttar Pradesh"/>
    <s v="Kanpur"/>
    <s v="Office Supplies"/>
    <s v="Pens"/>
    <n v="1"/>
    <n v="1727.32"/>
    <n v="0"/>
    <n v="1727.32"/>
    <n v="1298.94"/>
    <n v="428.38"/>
  </r>
  <r>
    <s v="ORD10093"/>
    <d v="2024-11-08T00:00:00"/>
    <s v="North"/>
    <s v="Delhi"/>
    <s v="New Delhi"/>
    <s v="Technology"/>
    <s v="Monitor"/>
    <n v="2"/>
    <n v="23377.75"/>
    <n v="0.05"/>
    <n v="44417.72"/>
    <n v="34779.07"/>
    <n v="9638.65"/>
  </r>
  <r>
    <s v="ORD10094"/>
    <d v="2024-06-26T00:00:00"/>
    <s v="North"/>
    <s v="Delhi"/>
    <s v="New Delhi"/>
    <s v="Technology"/>
    <s v="Router"/>
    <n v="1"/>
    <n v="37688.79"/>
    <n v="0"/>
    <n v="37688.79"/>
    <n v="33053.07"/>
    <n v="4635.72"/>
  </r>
  <r>
    <s v="ORD10095"/>
    <d v="2024-10-25T00:00:00"/>
    <s v="East"/>
    <s v="Assam"/>
    <s v="Dibrugarh"/>
    <s v="Furniture"/>
    <s v="Bookcase"/>
    <n v="1"/>
    <n v="18168.71"/>
    <n v="0"/>
    <n v="18168.71"/>
    <n v="12372.89"/>
    <n v="5795.82"/>
  </r>
  <r>
    <s v="ORD10096"/>
    <d v="2024-08-27T00:00:00"/>
    <s v="Central"/>
    <s v="Madhya Pradesh"/>
    <s v="Indore"/>
    <s v="Technology"/>
    <s v="Headset"/>
    <n v="3"/>
    <n v="20310.330000000002"/>
    <n v="0.1"/>
    <n v="54837.89"/>
    <n v="41676.800000000003"/>
    <n v="13161.09"/>
  </r>
  <r>
    <s v="ORD10097"/>
    <d v="2024-05-25T00:00:00"/>
    <s v="East"/>
    <s v="Bengal"/>
    <s v="Kolkata"/>
    <s v="Office Supplies"/>
    <s v="Folders"/>
    <n v="1"/>
    <n v="1510.47"/>
    <n v="0"/>
    <n v="1510.47"/>
    <n v="1276.3499999999999"/>
    <n v="234.12"/>
  </r>
  <r>
    <s v="ORD10098"/>
    <d v="2024-10-22T00:00:00"/>
    <s v="South"/>
    <s v="Karnataka"/>
    <s v="Mysuru"/>
    <s v="Furniture"/>
    <s v="Bookcase"/>
    <n v="2"/>
    <n v="18093.87"/>
    <n v="0"/>
    <n v="36187.74"/>
    <n v="24643.85"/>
    <n v="11543.89"/>
  </r>
  <r>
    <s v="ORD10099"/>
    <d v="2025-05-27T00:00:00"/>
    <s v="North"/>
    <s v="Uttar Pradesh"/>
    <s v="Kanpur"/>
    <s v="Technology"/>
    <s v="Headset"/>
    <n v="3"/>
    <n v="6069.28"/>
    <n v="0"/>
    <n v="18207.84"/>
    <n v="13036.81"/>
    <n v="5171.03"/>
  </r>
  <r>
    <s v="ORD10100"/>
    <d v="2024-11-26T00:00:00"/>
    <s v="North"/>
    <s v="Haryana"/>
    <s v="Gurugram"/>
    <s v="Technology"/>
    <s v="Monitor"/>
    <n v="1"/>
    <n v="77067.149999999994"/>
    <n v="0"/>
    <n v="77067.149999999994"/>
    <n v="71287.11"/>
    <n v="5780.04"/>
  </r>
  <r>
    <s v="ORD10101"/>
    <d v="2025-08-12T00:00:00"/>
    <s v="North"/>
    <s v="Delhi"/>
    <s v="New Delhi"/>
    <s v="Furniture"/>
    <s v="Desk"/>
    <n v="1"/>
    <n v="19551.509999999998"/>
    <n v="0.15"/>
    <n v="16618.78"/>
    <n v="11300.77"/>
    <n v="5318.01"/>
  </r>
  <r>
    <s v="ORD10102"/>
    <d v="2025-03-28T00:00:00"/>
    <s v="Central"/>
    <s v="Madhya Pradesh"/>
    <s v="Indore"/>
    <s v="Furniture"/>
    <s v="Cabinet"/>
    <n v="1"/>
    <n v="24288.27"/>
    <n v="0"/>
    <n v="24288.27"/>
    <n v="23000.99"/>
    <n v="1287.28"/>
  </r>
  <r>
    <s v="ORD10103"/>
    <d v="2025-02-22T00:00:00"/>
    <s v="Central"/>
    <s v="Chhattisgarh"/>
    <s v="Raipur"/>
    <s v="Technology"/>
    <s v="Printer"/>
    <n v="1"/>
    <n v="34696.67"/>
    <n v="0"/>
    <n v="34696.67"/>
    <n v="26057.200000000001"/>
    <n v="8639.4699999999993"/>
  </r>
  <r>
    <s v="ORD10104"/>
    <d v="2025-02-14T00:00:00"/>
    <s v="North"/>
    <s v="Delhi"/>
    <s v="New Delhi"/>
    <s v="Technology"/>
    <s v="Printer"/>
    <n v="1"/>
    <n v="22434.71"/>
    <n v="0.1"/>
    <n v="20191.240000000002"/>
    <n v="18212.5"/>
    <n v="1978.74"/>
  </r>
  <r>
    <s v="ORD10105"/>
    <d v="2025-06-10T00:00:00"/>
    <s v="East"/>
    <s v="Jharkhand"/>
    <s v="Jamshedpur"/>
    <s v="Technology"/>
    <s v="Monitor"/>
    <n v="1"/>
    <n v="42919.83"/>
    <n v="0"/>
    <n v="42919.83"/>
    <n v="31846.51"/>
    <n v="11073.32"/>
  </r>
  <r>
    <s v="ORD10106"/>
    <d v="2025-05-25T00:00:00"/>
    <s v="South"/>
    <s v="Karnataka"/>
    <s v="Bengaluru"/>
    <s v="Office Supplies"/>
    <s v="Folders"/>
    <n v="2"/>
    <n v="305.48"/>
    <n v="0"/>
    <n v="610.96"/>
    <n v="539.48"/>
    <n v="71.48"/>
  </r>
  <r>
    <s v="ORD10107"/>
    <d v="2025-05-11T00:00:00"/>
    <s v="East"/>
    <s v="Bengal"/>
    <s v="Kolkata"/>
    <s v="Furniture"/>
    <s v="Chair"/>
    <n v="2"/>
    <n v="9147.25"/>
    <n v="0.1"/>
    <n v="16465.05"/>
    <n v="14472.78"/>
    <n v="1992.27"/>
  </r>
  <r>
    <s v="ORD10108"/>
    <d v="2024-04-05T00:00:00"/>
    <s v="West"/>
    <s v="Maharashtra"/>
    <s v="Pune"/>
    <s v="Technology"/>
    <s v="Monitor"/>
    <n v="1"/>
    <n v="41374.910000000003"/>
    <n v="0"/>
    <n v="41374.910000000003"/>
    <n v="30038.18"/>
    <n v="11336.73"/>
  </r>
  <r>
    <s v="ORD10109"/>
    <d v="2025-06-05T00:00:00"/>
    <s v="Central"/>
    <s v="Chhattisgarh"/>
    <s v="Bilaspur"/>
    <s v="Office Supplies"/>
    <s v="Stapler"/>
    <n v="1"/>
    <n v="940.73"/>
    <n v="0.05"/>
    <n v="893.69"/>
    <n v="621.11"/>
    <n v="272.58"/>
  </r>
  <r>
    <s v="ORD10110"/>
    <d v="2025-06-04T00:00:00"/>
    <s v="West"/>
    <s v="Maharashtra"/>
    <s v="Pune"/>
    <s v="Office Supplies"/>
    <s v="Pens"/>
    <n v="2"/>
    <n v="1871.78"/>
    <n v="0"/>
    <n v="3743.56"/>
    <n v="2919.98"/>
    <n v="823.58"/>
  </r>
  <r>
    <s v="ORD10111"/>
    <d v="2024-01-03T00:00:00"/>
    <s v="Central"/>
    <s v="Chhattisgarh"/>
    <s v="Bilaspur"/>
    <s v="Technology"/>
    <s v="Router"/>
    <n v="1"/>
    <n v="44470.7"/>
    <n v="0"/>
    <n v="44470.7"/>
    <n v="37355.39"/>
    <n v="7115.31"/>
  </r>
  <r>
    <s v="ORD10112"/>
    <d v="2025-07-19T00:00:00"/>
    <s v="North"/>
    <s v="Uttar Pradesh"/>
    <s v="Kanpur"/>
    <s v="Office Supplies"/>
    <s v="Stapler"/>
    <n v="1"/>
    <n v="1962.51"/>
    <n v="0"/>
    <n v="1962.51"/>
    <n v="1721.12"/>
    <n v="241.39"/>
  </r>
  <r>
    <s v="ORD10113"/>
    <d v="2025-01-27T00:00:00"/>
    <s v="West"/>
    <s v="Goa"/>
    <s v="Panaji"/>
    <s v="Office Supplies"/>
    <s v="Envelopes"/>
    <n v="5"/>
    <n v="1425.19"/>
    <n v="0"/>
    <n v="7125.95"/>
    <n v="5928.79"/>
    <n v="1197.1600000000001"/>
  </r>
  <r>
    <s v="ORD10114"/>
    <d v="2025-01-30T00:00:00"/>
    <s v="West"/>
    <s v="Goa"/>
    <s v="Panaji"/>
    <s v="Technology"/>
    <s v="Headset"/>
    <n v="3"/>
    <n v="77332.23"/>
    <n v="0"/>
    <n v="231996.69"/>
    <n v="176549.48"/>
    <n v="55447.21"/>
  </r>
  <r>
    <s v="ORD10115"/>
    <d v="2024-04-12T00:00:00"/>
    <s v="South"/>
    <s v="Karnataka"/>
    <s v="Mysuru"/>
    <s v="Technology"/>
    <s v="Monitor"/>
    <n v="2"/>
    <n v="34568.35"/>
    <n v="0"/>
    <n v="69136.7"/>
    <n v="55240.22"/>
    <n v="13896.48"/>
  </r>
  <r>
    <s v="ORD10116"/>
    <d v="2024-06-07T00:00:00"/>
    <s v="East"/>
    <s v="Jharkhand"/>
    <s v="Jamshedpur"/>
    <s v="Office Supplies"/>
    <s v="Folders"/>
    <n v="1"/>
    <n v="1400.77"/>
    <n v="0"/>
    <n v="1400.77"/>
    <n v="1123.42"/>
    <n v="277.35000000000002"/>
  </r>
  <r>
    <s v="ORD10117"/>
    <d v="2024-12-02T00:00:00"/>
    <s v="North"/>
    <s v="Uttar Pradesh"/>
    <s v="Kanpur"/>
    <s v="Furniture"/>
    <s v="Cabinet"/>
    <n v="1"/>
    <n v="22064.81"/>
    <n v="0.05"/>
    <n v="20961.57"/>
    <n v="15364.83"/>
    <n v="5596.74"/>
  </r>
  <r>
    <s v="ORD10118"/>
    <d v="2024-08-28T00:00:00"/>
    <s v="Central"/>
    <s v="Madhya Pradesh"/>
    <s v="Bhopal"/>
    <s v="Office Supplies"/>
    <s v="Paper"/>
    <n v="1"/>
    <n v="1532.72"/>
    <n v="0"/>
    <n v="1532.72"/>
    <n v="1445.35"/>
    <n v="87.37"/>
  </r>
  <r>
    <s v="ORD10119"/>
    <d v="2024-04-12T00:00:00"/>
    <s v="South"/>
    <s v="Tamil Nadu"/>
    <s v="Coimbatore"/>
    <s v="Technology"/>
    <s v="Laptop"/>
    <n v="1"/>
    <n v="27976.85"/>
    <n v="0.1"/>
    <n v="25179.17"/>
    <n v="22585.72"/>
    <n v="2593.4499999999998"/>
  </r>
  <r>
    <s v="ORD10120"/>
    <d v="2025-01-18T00:00:00"/>
    <s v="South"/>
    <s v="Tamil Nadu"/>
    <s v="Chennai"/>
    <s v="Furniture"/>
    <s v="Cabinet"/>
    <n v="4"/>
    <n v="15016.35"/>
    <n v="0"/>
    <n v="60065.4"/>
    <n v="39883.43"/>
    <n v="20181.97"/>
  </r>
  <r>
    <s v="ORD10121"/>
    <d v="2024-06-23T00:00:00"/>
    <s v="West"/>
    <s v="Maharashtra"/>
    <s v="Pune"/>
    <s v="Furniture"/>
    <s v="Chair"/>
    <n v="3"/>
    <n v="13446.35"/>
    <n v="0"/>
    <n v="40339.050000000003"/>
    <n v="33844.46"/>
    <n v="6494.59"/>
  </r>
  <r>
    <s v="ORD10122"/>
    <d v="2024-08-25T00:00:00"/>
    <s v="South"/>
    <s v="Kerala"/>
    <s v="Thiruvananthapuram"/>
    <s v="Office Supplies"/>
    <s v="Paper"/>
    <n v="1"/>
    <n v="1802.87"/>
    <n v="0"/>
    <n v="1802.87"/>
    <n v="1211.53"/>
    <n v="591.34"/>
  </r>
  <r>
    <s v="ORD10123"/>
    <d v="2024-10-21T00:00:00"/>
    <s v="North"/>
    <s v="Punjab"/>
    <s v="Amritsar"/>
    <s v="Office Supplies"/>
    <s v="Pens"/>
    <n v="1"/>
    <n v="1975.92"/>
    <n v="0"/>
    <n v="1975.92"/>
    <n v="1304.1099999999999"/>
    <n v="671.81"/>
  </r>
  <r>
    <s v="ORD10124"/>
    <d v="2025-03-10T00:00:00"/>
    <s v="Central"/>
    <s v="Chhattisgarh"/>
    <s v="Bilaspur"/>
    <s v="Technology"/>
    <s v="Router"/>
    <n v="4"/>
    <n v="68706.83"/>
    <n v="0.1"/>
    <n v="247344.59"/>
    <n v="171657.15"/>
    <n v="75687.44"/>
  </r>
  <r>
    <s v="ORD10125"/>
    <d v="2025-08-08T00:00:00"/>
    <s v="Central"/>
    <s v="Chhattisgarh"/>
    <s v="Bilaspur"/>
    <s v="Technology"/>
    <s v="Router"/>
    <n v="1"/>
    <n v="24134.99"/>
    <n v="0"/>
    <n v="24134.99"/>
    <n v="20128.580000000002"/>
    <n v="4006.41"/>
  </r>
  <r>
    <s v="ORD10126"/>
    <d v="2024-02-20T00:00:00"/>
    <s v="North"/>
    <s v="Uttar Pradesh"/>
    <s v="Kanpur"/>
    <s v="Technology"/>
    <s v="Headset"/>
    <n v="3"/>
    <n v="64748.76"/>
    <n v="0"/>
    <n v="194246.28"/>
    <n v="166080.57"/>
    <n v="28165.71"/>
  </r>
  <r>
    <s v="ORD10127"/>
    <d v="2024-07-13T00:00:00"/>
    <s v="North"/>
    <s v="Haryana"/>
    <s v="Gurugram"/>
    <s v="Furniture"/>
    <s v="Desk"/>
    <n v="1"/>
    <n v="22778.29"/>
    <n v="0"/>
    <n v="22778.29"/>
    <n v="17835.400000000001"/>
    <n v="4942.8900000000003"/>
  </r>
  <r>
    <s v="ORD10128"/>
    <d v="2024-11-12T00:00:00"/>
    <s v="South"/>
    <s v="Karnataka"/>
    <s v="Mysuru"/>
    <s v="Furniture"/>
    <s v="Chair"/>
    <n v="4"/>
    <n v="4073.07"/>
    <n v="0"/>
    <n v="16292.28"/>
    <n v="12072.58"/>
    <n v="4219.7"/>
  </r>
  <r>
    <s v="ORD10129"/>
    <d v="2025-03-01T00:00:00"/>
    <s v="West"/>
    <s v="Maharashtra"/>
    <s v="Mumbai"/>
    <s v="Furniture"/>
    <s v="Bookcase"/>
    <n v="1"/>
    <n v="14209.6"/>
    <n v="0"/>
    <n v="14209.6"/>
    <n v="13087.04"/>
    <n v="1122.56"/>
  </r>
  <r>
    <s v="ORD10130"/>
    <d v="2024-06-17T00:00:00"/>
    <s v="Central"/>
    <s v="Chhattisgarh"/>
    <s v="Bilaspur"/>
    <s v="Furniture"/>
    <s v="Bookcase"/>
    <n v="1"/>
    <n v="20497.349999999999"/>
    <n v="0"/>
    <n v="20497.349999999999"/>
    <n v="13384.77"/>
    <n v="7112.58"/>
  </r>
  <r>
    <s v="ORD10131"/>
    <d v="2024-03-18T00:00:00"/>
    <s v="West"/>
    <s v="Maharashtra"/>
    <s v="Pune"/>
    <s v="Furniture"/>
    <s v="Bookcase"/>
    <n v="1"/>
    <n v="4076.97"/>
    <n v="0"/>
    <n v="4076.97"/>
    <n v="3241.19"/>
    <n v="835.78"/>
  </r>
  <r>
    <s v="ORD10132"/>
    <d v="2024-09-27T00:00:00"/>
    <s v="North"/>
    <s v="Delhi"/>
    <s v="New Delhi"/>
    <s v="Office Supplies"/>
    <s v="Pens"/>
    <n v="3"/>
    <n v="1189.8900000000001"/>
    <n v="0"/>
    <n v="3569.67"/>
    <n v="2598.7199999999998"/>
    <n v="970.95"/>
  </r>
  <r>
    <s v="ORD10133"/>
    <d v="2025-01-15T00:00:00"/>
    <s v="East"/>
    <s v="Assam"/>
    <s v="Dibrugarh"/>
    <s v="Technology"/>
    <s v="Headset"/>
    <n v="2"/>
    <n v="71086.080000000002"/>
    <n v="0"/>
    <n v="142172.16"/>
    <n v="105065.23"/>
    <n v="37106.93"/>
  </r>
  <r>
    <s v="ORD10134"/>
    <d v="2024-08-14T00:00:00"/>
    <s v="East"/>
    <s v="Jharkhand"/>
    <s v="Jamshedpur"/>
    <s v="Furniture"/>
    <s v="Cabinet"/>
    <n v="1"/>
    <n v="4683.55"/>
    <n v="0.05"/>
    <n v="4449.37"/>
    <n v="3835.36"/>
    <n v="614.01"/>
  </r>
  <r>
    <s v="ORD10135"/>
    <d v="2024-11-07T00:00:00"/>
    <s v="South"/>
    <s v="Karnataka"/>
    <s v="Bengaluru"/>
    <s v="Technology"/>
    <s v="Headset"/>
    <n v="2"/>
    <n v="13446.13"/>
    <n v="0"/>
    <n v="26892.26"/>
    <n v="19012.830000000002"/>
    <n v="7879.43"/>
  </r>
  <r>
    <s v="ORD10136"/>
    <d v="2025-07-07T00:00:00"/>
    <s v="South"/>
    <s v="Tamil Nadu"/>
    <s v="Coimbatore"/>
    <s v="Furniture"/>
    <s v="Desk"/>
    <n v="3"/>
    <n v="21174.94"/>
    <n v="0"/>
    <n v="63524.82"/>
    <n v="42942.78"/>
    <n v="20582.04"/>
  </r>
  <r>
    <s v="ORD10137"/>
    <d v="2024-10-13T00:00:00"/>
    <s v="East"/>
    <s v="Odisha"/>
    <s v="Bhubaneswar"/>
    <s v="Office Supplies"/>
    <s v="Envelopes"/>
    <n v="1"/>
    <n v="1903.58"/>
    <n v="0"/>
    <n v="1903.58"/>
    <n v="1522.86"/>
    <n v="380.72"/>
  </r>
  <r>
    <s v="ORD10138"/>
    <d v="2024-04-11T00:00:00"/>
    <s v="Central"/>
    <s v="Chhattisgarh"/>
    <s v="Raipur"/>
    <s v="Office Supplies"/>
    <s v="Pens"/>
    <n v="2"/>
    <n v="420.13"/>
    <n v="0.1"/>
    <n v="756.23"/>
    <n v="570.95000000000005"/>
    <n v="185.28"/>
  </r>
  <r>
    <s v="ORD10139"/>
    <d v="2024-04-03T00:00:00"/>
    <s v="West"/>
    <s v="Gujarat"/>
    <s v="Ahmedabad"/>
    <s v="Technology"/>
    <s v="Printer"/>
    <n v="2"/>
    <n v="21754.81"/>
    <n v="0.15"/>
    <n v="36983.18"/>
    <n v="26295.040000000001"/>
    <n v="10688.14"/>
  </r>
  <r>
    <s v="ORD10140"/>
    <d v="2024-07-29T00:00:00"/>
    <s v="East"/>
    <s v="Assam"/>
    <s v="Guwahati"/>
    <s v="Technology"/>
    <s v="Printer"/>
    <n v="3"/>
    <n v="62626.38"/>
    <n v="0"/>
    <n v="187879.14"/>
    <n v="159509.39000000001"/>
    <n v="28369.75"/>
  </r>
  <r>
    <s v="ORD10141"/>
    <d v="2024-01-03T00:00:00"/>
    <s v="Central"/>
    <s v="Madhya Pradesh"/>
    <s v="Bhopal"/>
    <s v="Furniture"/>
    <s v="Bookcase"/>
    <n v="1"/>
    <n v="20365.82"/>
    <n v="0.05"/>
    <n v="19347.53"/>
    <n v="17838.419999999998"/>
    <n v="1509.11"/>
  </r>
  <r>
    <s v="ORD10142"/>
    <d v="2024-05-14T00:00:00"/>
    <s v="East"/>
    <s v="Odisha"/>
    <s v="Bhubaneswar"/>
    <s v="Furniture"/>
    <s v="Bookcase"/>
    <n v="1"/>
    <n v="2362.96"/>
    <n v="0"/>
    <n v="2362.96"/>
    <n v="2218.8200000000002"/>
    <n v="144.13999999999999"/>
  </r>
  <r>
    <s v="ORD10143"/>
    <d v="2024-05-09T00:00:00"/>
    <s v="South"/>
    <s v="Karnataka"/>
    <s v="Bengaluru"/>
    <s v="Office Supplies"/>
    <s v="Envelopes"/>
    <n v="1"/>
    <n v="1567.13"/>
    <n v="0"/>
    <n v="1567.13"/>
    <n v="1233.33"/>
    <n v="333.8"/>
  </r>
  <r>
    <s v="ORD10144"/>
    <d v="2024-04-21T00:00:00"/>
    <s v="South"/>
    <s v="Tamil Nadu"/>
    <s v="Chennai"/>
    <s v="Furniture"/>
    <s v="Table"/>
    <n v="1"/>
    <n v="8937.5"/>
    <n v="0"/>
    <n v="8937.5"/>
    <n v="6908.69"/>
    <n v="2028.81"/>
  </r>
  <r>
    <s v="ORD10145"/>
    <d v="2024-02-01T00:00:00"/>
    <s v="East"/>
    <s v="Jharkhand"/>
    <s v="Jamshedpur"/>
    <s v="Office Supplies"/>
    <s v="Paper"/>
    <n v="1"/>
    <n v="1006.02"/>
    <n v="0"/>
    <n v="1006.02"/>
    <n v="944.65"/>
    <n v="61.37"/>
  </r>
  <r>
    <s v="ORD10146"/>
    <d v="2024-03-16T00:00:00"/>
    <s v="East"/>
    <s v="Odisha"/>
    <s v="Bhubaneswar"/>
    <s v="Technology"/>
    <s v="Monitor"/>
    <n v="2"/>
    <n v="24176.23"/>
    <n v="0"/>
    <n v="48352.46"/>
    <n v="40712.769999999997"/>
    <n v="7639.69"/>
  </r>
  <r>
    <s v="ORD10147"/>
    <d v="2025-07-15T00:00:00"/>
    <s v="Central"/>
    <s v="Chhattisgarh"/>
    <s v="Bilaspur"/>
    <s v="Office Supplies"/>
    <s v="Folders"/>
    <n v="1"/>
    <n v="1230.58"/>
    <n v="0.15"/>
    <n v="1045.99"/>
    <n v="829.47"/>
    <n v="216.52"/>
  </r>
  <r>
    <s v="ORD10148"/>
    <d v="2024-04-27T00:00:00"/>
    <s v="North"/>
    <s v="Punjab"/>
    <s v="Ludhiana"/>
    <s v="Office Supplies"/>
    <s v="Stapler"/>
    <n v="2"/>
    <n v="856.94"/>
    <n v="0"/>
    <n v="1713.88"/>
    <n v="1516.78"/>
    <n v="197.1"/>
  </r>
  <r>
    <s v="ORD10149"/>
    <d v="2025-02-12T00:00:00"/>
    <s v="South"/>
    <s v="Karnataka"/>
    <s v="Mysuru"/>
    <s v="Office Supplies"/>
    <s v="Pens"/>
    <n v="1"/>
    <n v="1346.96"/>
    <n v="0"/>
    <n v="1346.96"/>
    <n v="1244.5899999999999"/>
    <n v="102.37"/>
  </r>
  <r>
    <s v="ORD10150"/>
    <d v="2024-06-05T00:00:00"/>
    <s v="South"/>
    <s v="Karnataka"/>
    <s v="Bengaluru"/>
    <s v="Technology"/>
    <s v="Laptop"/>
    <n v="1"/>
    <n v="36254.49"/>
    <n v="0"/>
    <n v="36254.49"/>
    <n v="28677.3"/>
    <n v="7577.19"/>
  </r>
  <r>
    <s v="ORD10151"/>
    <d v="2025-01-16T00:00:00"/>
    <s v="West"/>
    <s v="Gujarat"/>
    <s v="Ahmedabad"/>
    <s v="Furniture"/>
    <s v="Table"/>
    <n v="1"/>
    <n v="14918.72"/>
    <n v="0"/>
    <n v="14918.72"/>
    <n v="11323.31"/>
    <n v="3595.41"/>
  </r>
  <r>
    <s v="ORD10152"/>
    <d v="2025-02-24T00:00:00"/>
    <s v="Central"/>
    <s v="Chhattisgarh"/>
    <s v="Raipur"/>
    <s v="Office Supplies"/>
    <s v="Folders"/>
    <n v="2"/>
    <n v="659.28"/>
    <n v="0.15"/>
    <n v="1120.78"/>
    <n v="736.35"/>
    <n v="384.43"/>
  </r>
  <r>
    <s v="ORD10153"/>
    <d v="2024-08-05T00:00:00"/>
    <s v="West"/>
    <s v="Gujarat"/>
    <s v="Surat"/>
    <s v="Technology"/>
    <s v="Laptop"/>
    <n v="1"/>
    <n v="29958.78"/>
    <n v="0"/>
    <n v="29958.78"/>
    <n v="25554.84"/>
    <n v="4403.9399999999996"/>
  </r>
  <r>
    <s v="ORD10154"/>
    <d v="2024-04-27T00:00:00"/>
    <s v="Central"/>
    <s v="Madhya Pradesh"/>
    <s v="Indore"/>
    <s v="Furniture"/>
    <s v="Table"/>
    <n v="2"/>
    <n v="16112.19"/>
    <n v="0"/>
    <n v="32224.38"/>
    <n v="28002.99"/>
    <n v="4221.3900000000003"/>
  </r>
  <r>
    <s v="ORD10155"/>
    <d v="2024-01-27T00:00:00"/>
    <s v="North"/>
    <s v="Haryana"/>
    <s v="Gurugram"/>
    <s v="Technology"/>
    <s v="Printer"/>
    <n v="1"/>
    <n v="57107.81"/>
    <n v="0"/>
    <n v="57107.81"/>
    <n v="52881.83"/>
    <n v="4225.9799999999996"/>
  </r>
  <r>
    <s v="ORD10156"/>
    <d v="2024-12-13T00:00:00"/>
    <s v="Central"/>
    <s v="Madhya Pradesh"/>
    <s v="Bhopal"/>
    <s v="Technology"/>
    <s v="Headset"/>
    <n v="1"/>
    <n v="53615.54"/>
    <n v="0.15"/>
    <n v="45573.21"/>
    <n v="30123.89"/>
    <n v="15449.32"/>
  </r>
  <r>
    <s v="ORD10157"/>
    <d v="2024-02-01T00:00:00"/>
    <s v="East"/>
    <s v="Assam"/>
    <s v="Dibrugarh"/>
    <s v="Office Supplies"/>
    <s v="Envelopes"/>
    <n v="2"/>
    <n v="714.75"/>
    <n v="0"/>
    <n v="1429.5"/>
    <n v="1059.26"/>
    <n v="370.24"/>
  </r>
  <r>
    <s v="ORD10158"/>
    <d v="2024-11-28T00:00:00"/>
    <s v="North"/>
    <s v="Delhi"/>
    <s v="New Delhi"/>
    <s v="Technology"/>
    <s v="Monitor"/>
    <n v="1"/>
    <n v="61091.56"/>
    <n v="0.05"/>
    <n v="58036.98"/>
    <n v="52117.21"/>
    <n v="5919.77"/>
  </r>
  <r>
    <s v="ORD10159"/>
    <d v="2024-10-05T00:00:00"/>
    <s v="South"/>
    <s v="Andhra Pradesh"/>
    <s v="Visakhapatnam"/>
    <s v="Furniture"/>
    <s v="Cabinet"/>
    <n v="1"/>
    <n v="11526.23"/>
    <n v="0"/>
    <n v="11526.23"/>
    <n v="10085.450000000001"/>
    <n v="1440.78"/>
  </r>
  <r>
    <s v="ORD10160"/>
    <d v="2025-06-08T00:00:00"/>
    <s v="East"/>
    <s v="Odisha"/>
    <s v="Cuttack"/>
    <s v="Technology"/>
    <s v="Printer"/>
    <n v="1"/>
    <n v="55222.78"/>
    <n v="0"/>
    <n v="55222.78"/>
    <n v="40643.97"/>
    <n v="14578.81"/>
  </r>
  <r>
    <s v="ORD10161"/>
    <d v="2025-06-23T00:00:00"/>
    <s v="Central"/>
    <s v="Madhya Pradesh"/>
    <s v="Bhopal"/>
    <s v="Office Supplies"/>
    <s v="Folders"/>
    <n v="2"/>
    <n v="156.82"/>
    <n v="0"/>
    <n v="313.64"/>
    <n v="271.61"/>
    <n v="42.03"/>
  </r>
  <r>
    <s v="ORD10162"/>
    <d v="2024-08-04T00:00:00"/>
    <s v="West"/>
    <s v="Goa"/>
    <s v="Margao"/>
    <s v="Office Supplies"/>
    <s v="Paper"/>
    <n v="4"/>
    <n v="65.069999999999993"/>
    <n v="0"/>
    <n v="260.27999999999997"/>
    <n v="189.74"/>
    <n v="70.540000000000006"/>
  </r>
  <r>
    <s v="ORD10163"/>
    <d v="2024-06-28T00:00:00"/>
    <s v="West"/>
    <s v="Goa"/>
    <s v="Panaji"/>
    <s v="Furniture"/>
    <s v="Table"/>
    <n v="1"/>
    <n v="21167.15"/>
    <n v="0"/>
    <n v="21167.15"/>
    <n v="16214.04"/>
    <n v="4953.1099999999997"/>
  </r>
  <r>
    <s v="ORD10164"/>
    <d v="2024-03-14T00:00:00"/>
    <s v="South"/>
    <s v="Karnataka"/>
    <s v="Mysuru"/>
    <s v="Technology"/>
    <s v="Router"/>
    <n v="1"/>
    <n v="73929.509999999995"/>
    <n v="0"/>
    <n v="73929.509999999995"/>
    <n v="64762.25"/>
    <n v="9167.26"/>
  </r>
  <r>
    <s v="ORD10165"/>
    <d v="2025-08-12T00:00:00"/>
    <s v="South"/>
    <s v="Andhra Pradesh"/>
    <s v="Visakhapatnam"/>
    <s v="Office Supplies"/>
    <s v="Paper"/>
    <n v="1"/>
    <n v="839.81"/>
    <n v="0"/>
    <n v="839.81"/>
    <n v="607.17999999999995"/>
    <n v="232.63"/>
  </r>
  <r>
    <s v="ORD10166"/>
    <d v="2024-06-24T00:00:00"/>
    <s v="North"/>
    <s v="Uttar Pradesh"/>
    <s v="Kanpur"/>
    <s v="Technology"/>
    <s v="Router"/>
    <n v="1"/>
    <n v="68025.3"/>
    <n v="0"/>
    <n v="68025.3"/>
    <n v="62243.15"/>
    <n v="5782.15"/>
  </r>
  <r>
    <s v="ORD10167"/>
    <d v="2025-08-26T00:00:00"/>
    <s v="South"/>
    <s v="Karnataka"/>
    <s v="Mysuru"/>
    <s v="Office Supplies"/>
    <s v="Pens"/>
    <n v="1"/>
    <n v="482.07"/>
    <n v="0"/>
    <n v="482.07"/>
    <n v="452.18"/>
    <n v="29.89"/>
  </r>
  <r>
    <s v="ORD10168"/>
    <d v="2024-03-19T00:00:00"/>
    <s v="North"/>
    <s v="Delhi"/>
    <s v="New Delhi"/>
    <s v="Office Supplies"/>
    <s v="Pens"/>
    <n v="3"/>
    <n v="1468.39"/>
    <n v="0"/>
    <n v="4405.17"/>
    <n v="3255.42"/>
    <n v="1149.75"/>
  </r>
  <r>
    <s v="ORD10169"/>
    <d v="2024-05-31T00:00:00"/>
    <s v="West"/>
    <s v="Maharashtra"/>
    <s v="Mumbai"/>
    <s v="Office Supplies"/>
    <s v="Stapler"/>
    <n v="1"/>
    <n v="388.32"/>
    <n v="0.15"/>
    <n v="330.07"/>
    <n v="303.99"/>
    <n v="26.08"/>
  </r>
  <r>
    <s v="ORD10170"/>
    <d v="2024-03-18T00:00:00"/>
    <s v="West"/>
    <s v="Gujarat"/>
    <s v="Surat"/>
    <s v="Office Supplies"/>
    <s v="Folders"/>
    <n v="1"/>
    <n v="1531.76"/>
    <n v="0"/>
    <n v="1531.76"/>
    <n v="1237.6600000000001"/>
    <n v="294.10000000000002"/>
  </r>
  <r>
    <s v="ORD10171"/>
    <d v="2025-08-01T00:00:00"/>
    <s v="North"/>
    <s v="Haryana"/>
    <s v="Faridabad"/>
    <s v="Technology"/>
    <s v="Router"/>
    <n v="1"/>
    <n v="8258.0400000000009"/>
    <n v="0"/>
    <n v="8258.0400000000009"/>
    <n v="6771.59"/>
    <n v="1486.45"/>
  </r>
  <r>
    <s v="ORD10172"/>
    <d v="2024-11-06T00:00:00"/>
    <s v="Central"/>
    <s v="Madhya Pradesh"/>
    <s v="Indore"/>
    <s v="Furniture"/>
    <s v="Desk"/>
    <n v="1"/>
    <n v="9139.3799999999992"/>
    <n v="0"/>
    <n v="9139.3799999999992"/>
    <n v="6991.63"/>
    <n v="2147.75"/>
  </r>
  <r>
    <s v="ORD10173"/>
    <d v="2024-02-28T00:00:00"/>
    <s v="Central"/>
    <s v="Chhattisgarh"/>
    <s v="Raipur"/>
    <s v="Furniture"/>
    <s v="Desk"/>
    <n v="1"/>
    <n v="16145.19"/>
    <n v="0"/>
    <n v="16145.19"/>
    <n v="15111.9"/>
    <n v="1033.29"/>
  </r>
  <r>
    <s v="ORD10174"/>
    <d v="2025-04-18T00:00:00"/>
    <s v="North"/>
    <s v="Delhi"/>
    <s v="New Delhi"/>
    <s v="Furniture"/>
    <s v="Chair"/>
    <n v="1"/>
    <n v="9395.1200000000008"/>
    <n v="0"/>
    <n v="9395.1200000000008"/>
    <n v="7159.08"/>
    <n v="2236.04"/>
  </r>
  <r>
    <s v="ORD10175"/>
    <d v="2024-06-03T00:00:00"/>
    <s v="East"/>
    <s v="Jharkhand"/>
    <s v="Ranchi"/>
    <s v="Office Supplies"/>
    <s v="Paper"/>
    <n v="1"/>
    <n v="1033.8699999999999"/>
    <n v="0.05"/>
    <n v="982.18"/>
    <n v="680.65"/>
    <n v="301.52999999999997"/>
  </r>
  <r>
    <s v="ORD10176"/>
    <d v="2025-03-24T00:00:00"/>
    <s v="South"/>
    <s v="Tamil Nadu"/>
    <s v="Coimbatore"/>
    <s v="Office Supplies"/>
    <s v="Pens"/>
    <n v="2"/>
    <n v="805.46"/>
    <n v="0"/>
    <n v="1610.92"/>
    <n v="1451.44"/>
    <n v="159.47999999999999"/>
  </r>
  <r>
    <s v="ORD10177"/>
    <d v="2024-02-23T00:00:00"/>
    <s v="Central"/>
    <s v="Madhya Pradesh"/>
    <s v="Indore"/>
    <s v="Technology"/>
    <s v="Headset"/>
    <n v="1"/>
    <n v="55235.21"/>
    <n v="0"/>
    <n v="55235.21"/>
    <n v="41813.050000000003"/>
    <n v="13422.16"/>
  </r>
  <r>
    <s v="ORD10178"/>
    <d v="2024-06-02T00:00:00"/>
    <s v="Central"/>
    <s v="Madhya Pradesh"/>
    <s v="Bhopal"/>
    <s v="Office Supplies"/>
    <s v="Pens"/>
    <n v="1"/>
    <n v="1937.01"/>
    <n v="0"/>
    <n v="1937.01"/>
    <n v="1499.25"/>
    <n v="437.76"/>
  </r>
  <r>
    <s v="ORD10179"/>
    <d v="2025-02-05T00:00:00"/>
    <s v="West"/>
    <s v="Gujarat"/>
    <s v="Ahmedabad"/>
    <s v="Office Supplies"/>
    <s v="Folders"/>
    <n v="4"/>
    <n v="784.52"/>
    <n v="0"/>
    <n v="3138.08"/>
    <n v="2438.29"/>
    <n v="699.79"/>
  </r>
  <r>
    <s v="ORD10180"/>
    <d v="2024-05-10T00:00:00"/>
    <s v="North"/>
    <s v="Delhi"/>
    <s v="New Delhi"/>
    <s v="Furniture"/>
    <s v="Bookcase"/>
    <n v="1"/>
    <n v="2419.3000000000002"/>
    <n v="0"/>
    <n v="2419.3000000000002"/>
    <n v="1831.41"/>
    <n v="587.89"/>
  </r>
  <r>
    <s v="ORD10181"/>
    <d v="2024-08-07T00:00:00"/>
    <s v="Central"/>
    <s v="Chhattisgarh"/>
    <s v="Raipur"/>
    <s v="Technology"/>
    <s v="Monitor"/>
    <n v="1"/>
    <n v="14930.78"/>
    <n v="0"/>
    <n v="14930.78"/>
    <n v="11735.59"/>
    <n v="3195.19"/>
  </r>
  <r>
    <s v="ORD10182"/>
    <d v="2024-04-13T00:00:00"/>
    <s v="North"/>
    <s v="Delhi"/>
    <s v="New Delhi"/>
    <s v="Furniture"/>
    <s v="Chair"/>
    <n v="4"/>
    <n v="15736.67"/>
    <n v="0.05"/>
    <n v="59799.35"/>
    <n v="49872.66"/>
    <n v="9926.69"/>
  </r>
  <r>
    <s v="ORD10183"/>
    <d v="2024-06-18T00:00:00"/>
    <s v="South"/>
    <s v="Karnataka"/>
    <s v="Mysuru"/>
    <s v="Office Supplies"/>
    <s v="Stapler"/>
    <n v="4"/>
    <n v="1940.7"/>
    <n v="0"/>
    <n v="7762.8"/>
    <n v="5263.18"/>
    <n v="2499.62"/>
  </r>
  <r>
    <s v="ORD10184"/>
    <d v="2025-04-04T00:00:00"/>
    <s v="West"/>
    <s v="Gujarat"/>
    <s v="Ahmedabad"/>
    <s v="Office Supplies"/>
    <s v="Envelopes"/>
    <n v="1"/>
    <n v="1812.75"/>
    <n v="0.15"/>
    <n v="1540.84"/>
    <n v="1431.44"/>
    <n v="109.4"/>
  </r>
  <r>
    <s v="ORD10185"/>
    <d v="2025-08-07T00:00:00"/>
    <s v="South"/>
    <s v="Andhra Pradesh"/>
    <s v="Visakhapatnam"/>
    <s v="Office Supplies"/>
    <s v="Folders"/>
    <n v="1"/>
    <n v="1078.55"/>
    <n v="0"/>
    <n v="1078.55"/>
    <n v="1019.23"/>
    <n v="59.32"/>
  </r>
  <r>
    <s v="ORD10186"/>
    <d v="2024-07-23T00:00:00"/>
    <s v="North"/>
    <s v="Punjab"/>
    <s v="Ludhiana"/>
    <s v="Technology"/>
    <s v="Router"/>
    <n v="1"/>
    <n v="70307"/>
    <n v="0"/>
    <n v="70307"/>
    <n v="52378.720000000001"/>
    <n v="17928.28"/>
  </r>
  <r>
    <s v="ORD10187"/>
    <d v="2024-04-15T00:00:00"/>
    <s v="North"/>
    <s v="Delhi"/>
    <s v="New Delhi"/>
    <s v="Technology"/>
    <s v="Monitor"/>
    <n v="1"/>
    <n v="24004.93"/>
    <n v="0"/>
    <n v="24004.93"/>
    <n v="20500.21"/>
    <n v="3504.72"/>
  </r>
  <r>
    <s v="ORD10188"/>
    <d v="2024-05-30T00:00:00"/>
    <s v="South"/>
    <s v="Karnataka"/>
    <s v="Bengaluru"/>
    <s v="Office Supplies"/>
    <s v="Pens"/>
    <n v="2"/>
    <n v="1864.42"/>
    <n v="0"/>
    <n v="3728.84"/>
    <n v="3516.3"/>
    <n v="212.54"/>
  </r>
  <r>
    <s v="ORD10189"/>
    <d v="2025-02-09T00:00:00"/>
    <s v="North"/>
    <s v="Haryana"/>
    <s v="Gurugram"/>
    <s v="Office Supplies"/>
    <s v="Paper"/>
    <n v="2"/>
    <n v="781.08"/>
    <n v="0.05"/>
    <n v="1484.05"/>
    <n v="1283.7"/>
    <n v="200.35"/>
  </r>
  <r>
    <s v="ORD10190"/>
    <d v="2024-12-09T00:00:00"/>
    <s v="West"/>
    <s v="Maharashtra"/>
    <s v="Mumbai"/>
    <s v="Office Supplies"/>
    <s v="Envelopes"/>
    <n v="1"/>
    <n v="1407.34"/>
    <n v="0.15"/>
    <n v="1196.24"/>
    <n v="886.41"/>
    <n v="309.83"/>
  </r>
  <r>
    <s v="ORD10191"/>
    <d v="2025-04-25T00:00:00"/>
    <s v="South"/>
    <s v="Karnataka"/>
    <s v="Bengaluru"/>
    <s v="Technology"/>
    <s v="Printer"/>
    <n v="1"/>
    <n v="19605.419999999998"/>
    <n v="0.15"/>
    <n v="16664.61"/>
    <n v="11448.59"/>
    <n v="5216.0200000000004"/>
  </r>
  <r>
    <s v="ORD10192"/>
    <d v="2025-06-24T00:00:00"/>
    <s v="South"/>
    <s v="Karnataka"/>
    <s v="Mysuru"/>
    <s v="Technology"/>
    <s v="Printer"/>
    <n v="2"/>
    <n v="12382.32"/>
    <n v="0"/>
    <n v="24764.639999999999"/>
    <n v="17558.13"/>
    <n v="7206.51"/>
  </r>
  <r>
    <s v="ORD10193"/>
    <d v="2025-04-13T00:00:00"/>
    <s v="East"/>
    <s v="Bengal"/>
    <s v="Siliguri"/>
    <s v="Furniture"/>
    <s v="Table"/>
    <n v="1"/>
    <n v="2378.0100000000002"/>
    <n v="0"/>
    <n v="2378.0100000000002"/>
    <n v="2133.0700000000002"/>
    <n v="244.94"/>
  </r>
  <r>
    <s v="ORD10194"/>
    <d v="2024-09-04T00:00:00"/>
    <s v="West"/>
    <s v="Goa"/>
    <s v="Margao"/>
    <s v="Technology"/>
    <s v="Headset"/>
    <n v="2"/>
    <n v="30166.84"/>
    <n v="0"/>
    <n v="60333.68"/>
    <n v="42716.25"/>
    <n v="17617.43"/>
  </r>
  <r>
    <s v="ORD10195"/>
    <d v="2024-07-10T00:00:00"/>
    <s v="East"/>
    <s v="Odisha"/>
    <s v="Bhubaneswar"/>
    <s v="Furniture"/>
    <s v="Table"/>
    <n v="5"/>
    <n v="13668.54"/>
    <n v="0"/>
    <n v="68342.7"/>
    <n v="56451.07"/>
    <n v="11891.63"/>
  </r>
  <r>
    <s v="ORD10196"/>
    <d v="2025-07-21T00:00:00"/>
    <s v="East"/>
    <s v="Jharkhand"/>
    <s v="Jamshedpur"/>
    <s v="Technology"/>
    <s v="Router"/>
    <n v="1"/>
    <n v="78540.039999999994"/>
    <n v="0"/>
    <n v="78540.039999999994"/>
    <n v="56313.21"/>
    <n v="22226.83"/>
  </r>
  <r>
    <s v="ORD10197"/>
    <d v="2024-01-17T00:00:00"/>
    <s v="Central"/>
    <s v="Madhya Pradesh"/>
    <s v="Indore"/>
    <s v="Technology"/>
    <s v="Laptop"/>
    <n v="1"/>
    <n v="62405.61"/>
    <n v="0"/>
    <n v="62405.61"/>
    <n v="41874.160000000003"/>
    <n v="20531.45"/>
  </r>
  <r>
    <s v="ORD10198"/>
    <d v="2024-12-06T00:00:00"/>
    <s v="West"/>
    <s v="Maharashtra"/>
    <s v="Pune"/>
    <s v="Furniture"/>
    <s v="Bookcase"/>
    <n v="3"/>
    <n v="20710.7"/>
    <n v="0.15"/>
    <n v="52812.29"/>
    <n v="43358.89"/>
    <n v="9453.4"/>
  </r>
  <r>
    <s v="ORD10199"/>
    <d v="2025-04-20T00:00:00"/>
    <s v="South"/>
    <s v="Tamil Nadu"/>
    <s v="Chennai"/>
    <s v="Technology"/>
    <s v="Router"/>
    <n v="2"/>
    <n v="5847.75"/>
    <n v="0"/>
    <n v="11695.5"/>
    <n v="8467.5400000000009"/>
    <n v="3227.96"/>
  </r>
  <r>
    <s v="ORD10200"/>
    <d v="2024-07-23T00:00:00"/>
    <s v="East"/>
    <s v="Odisha"/>
    <s v="Cuttack"/>
    <s v="Furniture"/>
    <s v="Cabinet"/>
    <n v="1"/>
    <n v="24749.82"/>
    <n v="0"/>
    <n v="24749.82"/>
    <n v="16805.13"/>
    <n v="7944.69"/>
  </r>
  <r>
    <s v="ORD10201"/>
    <d v="2024-09-16T00:00:00"/>
    <s v="East"/>
    <s v="Assam"/>
    <s v="Dibrugarh"/>
    <s v="Office Supplies"/>
    <s v="Paper"/>
    <n v="1"/>
    <n v="1738.31"/>
    <n v="0"/>
    <n v="1738.31"/>
    <n v="1220.29"/>
    <n v="518.02"/>
  </r>
  <r>
    <s v="ORD10202"/>
    <d v="2024-05-07T00:00:00"/>
    <s v="Central"/>
    <s v="Chhattisgarh"/>
    <s v="Bilaspur"/>
    <s v="Furniture"/>
    <s v="Cabinet"/>
    <n v="1"/>
    <n v="22576.66"/>
    <n v="0"/>
    <n v="22576.66"/>
    <n v="15374.71"/>
    <n v="7201.95"/>
  </r>
  <r>
    <s v="ORD10203"/>
    <d v="2024-07-10T00:00:00"/>
    <s v="South"/>
    <s v="Andhra Pradesh"/>
    <s v="Visakhapatnam"/>
    <s v="Furniture"/>
    <s v="Bookcase"/>
    <n v="1"/>
    <n v="20426.41"/>
    <n v="0"/>
    <n v="20426.41"/>
    <n v="19343.810000000001"/>
    <n v="1082.5999999999999"/>
  </r>
  <r>
    <s v="ORD10204"/>
    <d v="2024-03-21T00:00:00"/>
    <s v="South"/>
    <s v="Tamil Nadu"/>
    <s v="Coimbatore"/>
    <s v="Office Supplies"/>
    <s v="Paper"/>
    <n v="3"/>
    <n v="206.13"/>
    <n v="0"/>
    <n v="618.39"/>
    <n v="570.77"/>
    <n v="47.62"/>
  </r>
  <r>
    <s v="ORD10205"/>
    <d v="2024-11-09T00:00:00"/>
    <s v="South"/>
    <s v="Andhra Pradesh"/>
    <s v="Vijayawada"/>
    <s v="Furniture"/>
    <s v="Cabinet"/>
    <n v="1"/>
    <n v="10085.58"/>
    <n v="0.1"/>
    <n v="9077.02"/>
    <n v="6036.22"/>
    <n v="3040.8"/>
  </r>
  <r>
    <s v="ORD10206"/>
    <d v="2025-03-21T00:00:00"/>
    <s v="Central"/>
    <s v="Madhya Pradesh"/>
    <s v="Bhopal"/>
    <s v="Furniture"/>
    <s v="Cabinet"/>
    <n v="4"/>
    <n v="10356.16"/>
    <n v="0"/>
    <n v="41424.639999999999"/>
    <n v="32228.37"/>
    <n v="9196.27"/>
  </r>
  <r>
    <s v="ORD10207"/>
    <d v="2024-06-12T00:00:00"/>
    <s v="East"/>
    <s v="Assam"/>
    <s v="Dibrugarh"/>
    <s v="Technology"/>
    <s v="Monitor"/>
    <n v="1"/>
    <n v="8176.97"/>
    <n v="0"/>
    <n v="8176.97"/>
    <n v="6664.23"/>
    <n v="1512.74"/>
  </r>
  <r>
    <s v="ORD10208"/>
    <d v="2025-01-10T00:00:00"/>
    <s v="Central"/>
    <s v="Chhattisgarh"/>
    <s v="Raipur"/>
    <s v="Furniture"/>
    <s v="Chair"/>
    <n v="1"/>
    <n v="17618.43"/>
    <n v="0"/>
    <n v="17618.43"/>
    <n v="14993.28"/>
    <n v="2625.15"/>
  </r>
  <r>
    <s v="ORD10209"/>
    <d v="2025-01-15T00:00:00"/>
    <s v="South"/>
    <s v="Karnataka"/>
    <s v="Bengaluru"/>
    <s v="Furniture"/>
    <s v="Bookcase"/>
    <n v="2"/>
    <n v="11154.78"/>
    <n v="0"/>
    <n v="22309.56"/>
    <n v="16152.12"/>
    <n v="6157.44"/>
  </r>
  <r>
    <s v="ORD10210"/>
    <d v="2024-09-12T00:00:00"/>
    <s v="East"/>
    <s v="Bengal"/>
    <s v="Kolkata"/>
    <s v="Office Supplies"/>
    <s v="Folders"/>
    <n v="2"/>
    <n v="804.63"/>
    <n v="0"/>
    <n v="1609.26"/>
    <n v="1147.4000000000001"/>
    <n v="461.86"/>
  </r>
  <r>
    <s v="ORD10211"/>
    <d v="2024-09-25T00:00:00"/>
    <s v="Central"/>
    <s v="Chhattisgarh"/>
    <s v="Raipur"/>
    <s v="Furniture"/>
    <s v="Bookcase"/>
    <n v="1"/>
    <n v="17961.55"/>
    <n v="0"/>
    <n v="17961.55"/>
    <n v="14405.16"/>
    <n v="3556.39"/>
  </r>
  <r>
    <s v="ORD10212"/>
    <d v="2024-07-23T00:00:00"/>
    <s v="East"/>
    <s v="Assam"/>
    <s v="Guwahati"/>
    <s v="Office Supplies"/>
    <s v="Stapler"/>
    <n v="1"/>
    <n v="1802.42"/>
    <n v="0"/>
    <n v="1802.42"/>
    <n v="1414.9"/>
    <n v="387.52"/>
  </r>
  <r>
    <s v="ORD10213"/>
    <d v="2024-03-30T00:00:00"/>
    <s v="Central"/>
    <s v="Chhattisgarh"/>
    <s v="Raipur"/>
    <s v="Furniture"/>
    <s v="Table"/>
    <n v="1"/>
    <n v="8678.33"/>
    <n v="0"/>
    <n v="8678.33"/>
    <n v="5935.98"/>
    <n v="2742.35"/>
  </r>
  <r>
    <s v="ORD10214"/>
    <d v="2024-06-10T00:00:00"/>
    <s v="West"/>
    <s v="Goa"/>
    <s v="Panaji"/>
    <s v="Technology"/>
    <s v="Monitor"/>
    <n v="1"/>
    <n v="63989.06"/>
    <n v="0"/>
    <n v="63989.06"/>
    <n v="58549.99"/>
    <n v="5439.07"/>
  </r>
  <r>
    <s v="ORD10215"/>
    <d v="2025-05-20T00:00:00"/>
    <s v="East"/>
    <s v="Odisha"/>
    <s v="Cuttack"/>
    <s v="Office Supplies"/>
    <s v="Folders"/>
    <n v="1"/>
    <n v="303.05"/>
    <n v="0"/>
    <n v="303.05"/>
    <n v="218.8"/>
    <n v="84.25"/>
  </r>
  <r>
    <s v="ORD10216"/>
    <d v="2024-03-08T00:00:00"/>
    <s v="Central"/>
    <s v="Chhattisgarh"/>
    <s v="Bilaspur"/>
    <s v="Furniture"/>
    <s v="Cabinet"/>
    <n v="1"/>
    <n v="19690.78"/>
    <n v="0"/>
    <n v="19690.78"/>
    <n v="18115.52"/>
    <n v="1575.26"/>
  </r>
  <r>
    <s v="ORD10217"/>
    <d v="2024-03-16T00:00:00"/>
    <s v="West"/>
    <s v="Goa"/>
    <s v="Panaji"/>
    <s v="Office Supplies"/>
    <s v="Envelopes"/>
    <n v="1"/>
    <n v="1376.21"/>
    <n v="0"/>
    <n v="1376.21"/>
    <n v="1018.4"/>
    <n v="357.81"/>
  </r>
  <r>
    <s v="ORD10218"/>
    <d v="2025-07-18T00:00:00"/>
    <s v="North"/>
    <s v="Punjab"/>
    <s v="Amritsar"/>
    <s v="Office Supplies"/>
    <s v="Folders"/>
    <n v="1"/>
    <n v="1825.89"/>
    <n v="0.05"/>
    <n v="1734.6"/>
    <n v="1219.42"/>
    <n v="515.17999999999995"/>
  </r>
  <r>
    <s v="ORD10219"/>
    <d v="2025-06-14T00:00:00"/>
    <s v="West"/>
    <s v="Goa"/>
    <s v="Panaji"/>
    <s v="Technology"/>
    <s v="Printer"/>
    <n v="2"/>
    <n v="74974.81"/>
    <n v="0"/>
    <n v="149949.62"/>
    <n v="138853.35"/>
    <n v="11096.27"/>
  </r>
  <r>
    <s v="ORD10220"/>
    <d v="2025-06-15T00:00:00"/>
    <s v="Central"/>
    <s v="Madhya Pradesh"/>
    <s v="Indore"/>
    <s v="Technology"/>
    <s v="Headset"/>
    <n v="1"/>
    <n v="24132.73"/>
    <n v="0"/>
    <n v="24132.73"/>
    <n v="15782.81"/>
    <n v="8349.92"/>
  </r>
  <r>
    <s v="ORD10221"/>
    <d v="2025-06-30T00:00:00"/>
    <s v="East"/>
    <s v="Assam"/>
    <s v="Guwahati"/>
    <s v="Technology"/>
    <s v="Headset"/>
    <n v="1"/>
    <n v="58488.72"/>
    <n v="0"/>
    <n v="58488.72"/>
    <n v="49072.04"/>
    <n v="9416.68"/>
  </r>
  <r>
    <s v="ORD10222"/>
    <d v="2025-07-31T00:00:00"/>
    <s v="East"/>
    <s v="Bengal"/>
    <s v="Kolkata"/>
    <s v="Technology"/>
    <s v="Headset"/>
    <n v="2"/>
    <n v="23378.5"/>
    <n v="0"/>
    <n v="46757"/>
    <n v="31140.16"/>
    <n v="15616.84"/>
  </r>
  <r>
    <s v="ORD10223"/>
    <d v="2025-08-08T00:00:00"/>
    <s v="South"/>
    <s v="Karnataka"/>
    <s v="Mysuru"/>
    <s v="Furniture"/>
    <s v="Table"/>
    <n v="5"/>
    <n v="8662.4500000000007"/>
    <n v="0"/>
    <n v="43312.25"/>
    <n v="31358.07"/>
    <n v="11954.18"/>
  </r>
  <r>
    <s v="ORD10224"/>
    <d v="2025-05-09T00:00:00"/>
    <s v="West"/>
    <s v="Gujarat"/>
    <s v="Surat"/>
    <s v="Office Supplies"/>
    <s v="Envelopes"/>
    <n v="1"/>
    <n v="192.3"/>
    <n v="0.1"/>
    <n v="173.07"/>
    <n v="160.09"/>
    <n v="12.98"/>
  </r>
  <r>
    <s v="ORD10225"/>
    <d v="2025-03-01T00:00:00"/>
    <s v="South"/>
    <s v="Andhra Pradesh"/>
    <s v="Vijayawada"/>
    <s v="Office Supplies"/>
    <s v="Folders"/>
    <n v="2"/>
    <n v="330.15"/>
    <n v="0"/>
    <n v="660.3"/>
    <n v="516.35"/>
    <n v="143.94999999999999"/>
  </r>
  <r>
    <s v="ORD10226"/>
    <d v="2024-11-22T00:00:00"/>
    <s v="Central"/>
    <s v="Chhattisgarh"/>
    <s v="Raipur"/>
    <s v="Office Supplies"/>
    <s v="Folders"/>
    <n v="1"/>
    <n v="1145.22"/>
    <n v="0"/>
    <n v="1145.22"/>
    <n v="776.46"/>
    <n v="368.76"/>
  </r>
  <r>
    <s v="ORD10227"/>
    <d v="2025-04-22T00:00:00"/>
    <s v="East"/>
    <s v="Odisha"/>
    <s v="Cuttack"/>
    <s v="Technology"/>
    <s v="Monitor"/>
    <n v="1"/>
    <n v="10454.5"/>
    <n v="0"/>
    <n v="10454.5"/>
    <n v="8384.51"/>
    <n v="2069.9899999999998"/>
  </r>
  <r>
    <s v="ORD10228"/>
    <d v="2025-01-28T00:00:00"/>
    <s v="North"/>
    <s v="Uttar Pradesh"/>
    <s v="Lucknow"/>
    <s v="Technology"/>
    <s v="Printer"/>
    <n v="1"/>
    <n v="74898.87"/>
    <n v="0"/>
    <n v="74898.87"/>
    <n v="60593.19"/>
    <n v="14305.68"/>
  </r>
  <r>
    <s v="ORD10229"/>
    <d v="2024-07-13T00:00:00"/>
    <s v="West"/>
    <s v="Goa"/>
    <s v="Margao"/>
    <s v="Office Supplies"/>
    <s v="Pens"/>
    <n v="1"/>
    <n v="1019.87"/>
    <n v="0.1"/>
    <n v="917.88"/>
    <n v="838.94"/>
    <n v="78.94"/>
  </r>
  <r>
    <s v="ORD10230"/>
    <d v="2025-06-01T00:00:00"/>
    <s v="South"/>
    <s v="Tamil Nadu"/>
    <s v="Chennai"/>
    <s v="Furniture"/>
    <s v="Bookcase"/>
    <n v="1"/>
    <n v="3119.14"/>
    <n v="0"/>
    <n v="3119.14"/>
    <n v="2354.9499999999998"/>
    <n v="764.19"/>
  </r>
  <r>
    <s v="ORD10231"/>
    <d v="2025-04-26T00:00:00"/>
    <s v="Central"/>
    <s v="Madhya Pradesh"/>
    <s v="Bhopal"/>
    <s v="Office Supplies"/>
    <s v="Stapler"/>
    <n v="2"/>
    <n v="1770.79"/>
    <n v="0"/>
    <n v="3541.58"/>
    <n v="2744.72"/>
    <n v="796.86"/>
  </r>
  <r>
    <s v="ORD10232"/>
    <d v="2025-02-16T00:00:00"/>
    <s v="Central"/>
    <s v="Madhya Pradesh"/>
    <s v="Indore"/>
    <s v="Technology"/>
    <s v="Headset"/>
    <n v="4"/>
    <n v="46259.9"/>
    <n v="0"/>
    <n v="185039.6"/>
    <n v="155063.18"/>
    <n v="29976.42"/>
  </r>
  <r>
    <s v="ORD10233"/>
    <d v="2024-10-22T00:00:00"/>
    <s v="East"/>
    <s v="Jharkhand"/>
    <s v="Jamshedpur"/>
    <s v="Furniture"/>
    <s v="Bookcase"/>
    <n v="1"/>
    <n v="20982.16"/>
    <n v="0"/>
    <n v="20982.16"/>
    <n v="14456.71"/>
    <n v="6525.45"/>
  </r>
  <r>
    <s v="ORD10234"/>
    <d v="2024-05-01T00:00:00"/>
    <s v="West"/>
    <s v="Maharashtra"/>
    <s v="Pune"/>
    <s v="Office Supplies"/>
    <s v="Pens"/>
    <n v="1"/>
    <n v="1137.77"/>
    <n v="0"/>
    <n v="1137.77"/>
    <n v="752.07"/>
    <n v="385.7"/>
  </r>
  <r>
    <s v="ORD10235"/>
    <d v="2024-05-27T00:00:00"/>
    <s v="West"/>
    <s v="Gujarat"/>
    <s v="Surat"/>
    <s v="Furniture"/>
    <s v="Desk"/>
    <n v="1"/>
    <n v="3041.98"/>
    <n v="0.1"/>
    <n v="2737.78"/>
    <n v="1804.2"/>
    <n v="933.58"/>
  </r>
  <r>
    <s v="ORD10236"/>
    <d v="2025-04-30T00:00:00"/>
    <s v="North"/>
    <s v="Uttar Pradesh"/>
    <s v="Lucknow"/>
    <s v="Furniture"/>
    <s v="Table"/>
    <n v="1"/>
    <n v="5214.96"/>
    <n v="0"/>
    <n v="5214.96"/>
    <n v="3561.82"/>
    <n v="1653.14"/>
  </r>
  <r>
    <s v="ORD10237"/>
    <d v="2024-11-22T00:00:00"/>
    <s v="West"/>
    <s v="Goa"/>
    <s v="Margao"/>
    <s v="Furniture"/>
    <s v="Bookcase"/>
    <n v="1"/>
    <n v="13668.24"/>
    <n v="0"/>
    <n v="13668.24"/>
    <n v="8911.69"/>
    <n v="4756.55"/>
  </r>
  <r>
    <s v="ORD10238"/>
    <d v="2025-05-16T00:00:00"/>
    <s v="North"/>
    <s v="Haryana"/>
    <s v="Faridabad"/>
    <s v="Technology"/>
    <s v="Printer"/>
    <n v="1"/>
    <n v="28505.45"/>
    <n v="0.1"/>
    <n v="25654.91"/>
    <n v="20113.45"/>
    <n v="5541.46"/>
  </r>
  <r>
    <s v="ORD10239"/>
    <d v="2025-08-20T00:00:00"/>
    <s v="Central"/>
    <s v="Madhya Pradesh"/>
    <s v="Indore"/>
    <s v="Office Supplies"/>
    <s v="Folders"/>
    <n v="4"/>
    <n v="1176.3900000000001"/>
    <n v="0"/>
    <n v="4705.5600000000004"/>
    <n v="3731.51"/>
    <n v="974.05"/>
  </r>
  <r>
    <s v="ORD10240"/>
    <d v="2025-08-20T00:00:00"/>
    <s v="South"/>
    <s v="Tamil Nadu"/>
    <s v="Coimbatore"/>
    <s v="Technology"/>
    <s v="Monitor"/>
    <n v="1"/>
    <n v="5430.93"/>
    <n v="0"/>
    <n v="5430.93"/>
    <n v="4024.32"/>
    <n v="1406.61"/>
  </r>
  <r>
    <s v="ORD10241"/>
    <d v="2024-04-22T00:00:00"/>
    <s v="West"/>
    <s v="Maharashtra"/>
    <s v="Pune"/>
    <s v="Office Supplies"/>
    <s v="Envelopes"/>
    <n v="1"/>
    <n v="345.29"/>
    <n v="0"/>
    <n v="345.29"/>
    <n v="263.11"/>
    <n v="82.18"/>
  </r>
  <r>
    <s v="ORD10242"/>
    <d v="2025-02-24T00:00:00"/>
    <s v="North"/>
    <s v="Uttar Pradesh"/>
    <s v="Lucknow"/>
    <s v="Furniture"/>
    <s v="Chair"/>
    <n v="1"/>
    <n v="13929.71"/>
    <n v="0"/>
    <n v="13929.71"/>
    <n v="9472.2000000000007"/>
    <n v="4457.51"/>
  </r>
  <r>
    <s v="ORD10243"/>
    <d v="2025-05-04T00:00:00"/>
    <s v="North"/>
    <s v="Uttar Pradesh"/>
    <s v="Kanpur"/>
    <s v="Technology"/>
    <s v="Router"/>
    <n v="1"/>
    <n v="73233.56"/>
    <n v="0"/>
    <n v="73233.56"/>
    <n v="63420.26"/>
    <n v="9813.2999999999993"/>
  </r>
  <r>
    <s v="ORD10244"/>
    <d v="2024-12-28T00:00:00"/>
    <s v="Central"/>
    <s v="Chhattisgarh"/>
    <s v="Raipur"/>
    <s v="Technology"/>
    <s v="Printer"/>
    <n v="4"/>
    <n v="45972.67"/>
    <n v="0"/>
    <n v="183890.68"/>
    <n v="125597.33"/>
    <n v="58293.35"/>
  </r>
  <r>
    <s v="ORD10245"/>
    <d v="2024-10-31T00:00:00"/>
    <s v="Central"/>
    <s v="Madhya Pradesh"/>
    <s v="Indore"/>
    <s v="Office Supplies"/>
    <s v="Envelopes"/>
    <n v="1"/>
    <n v="730.17"/>
    <n v="0"/>
    <n v="730.17"/>
    <n v="557.85"/>
    <n v="172.32"/>
  </r>
  <r>
    <s v="ORD10246"/>
    <d v="2024-10-07T00:00:00"/>
    <s v="Central"/>
    <s v="Madhya Pradesh"/>
    <s v="Indore"/>
    <s v="Office Supplies"/>
    <s v="Pens"/>
    <n v="1"/>
    <n v="1911.49"/>
    <n v="0"/>
    <n v="1911.49"/>
    <n v="1708.87"/>
    <n v="202.62"/>
  </r>
  <r>
    <s v="ORD10247"/>
    <d v="2024-10-24T00:00:00"/>
    <s v="East"/>
    <s v="Odisha"/>
    <s v="Bhubaneswar"/>
    <s v="Office Supplies"/>
    <s v="Envelopes"/>
    <n v="1"/>
    <n v="1329.15"/>
    <n v="0"/>
    <n v="1329.15"/>
    <n v="1121.8"/>
    <n v="207.35"/>
  </r>
  <r>
    <s v="ORD10248"/>
    <d v="2024-08-07T00:00:00"/>
    <s v="West"/>
    <s v="Gujarat"/>
    <s v="Surat"/>
    <s v="Furniture"/>
    <s v="Bookcase"/>
    <n v="1"/>
    <n v="5157.28"/>
    <n v="0"/>
    <n v="5157.28"/>
    <n v="4780.8"/>
    <n v="376.48"/>
  </r>
  <r>
    <s v="ORD10249"/>
    <d v="2025-08-23T00:00:00"/>
    <s v="West"/>
    <s v="Maharashtra"/>
    <s v="Mumbai"/>
    <s v="Furniture"/>
    <s v="Table"/>
    <n v="5"/>
    <n v="7190.45"/>
    <n v="0"/>
    <n v="35952.25"/>
    <n v="23512.77"/>
    <n v="12439.48"/>
  </r>
  <r>
    <s v="ORD10250"/>
    <d v="2024-04-12T00:00:00"/>
    <s v="South"/>
    <s v="Kerala"/>
    <s v="Thiruvananthapuram"/>
    <s v="Technology"/>
    <s v="Monitor"/>
    <n v="2"/>
    <n v="3398.97"/>
    <n v="0"/>
    <n v="6797.94"/>
    <n v="5363.57"/>
    <n v="1434.37"/>
  </r>
  <r>
    <s v="ORD10251"/>
    <d v="2024-06-10T00:00:00"/>
    <s v="South"/>
    <s v="Andhra Pradesh"/>
    <s v="Visakhapatnam"/>
    <s v="Furniture"/>
    <s v="Chair"/>
    <n v="1"/>
    <n v="19385.95"/>
    <n v="0"/>
    <n v="19385.95"/>
    <n v="13686.48"/>
    <n v="5699.47"/>
  </r>
  <r>
    <s v="ORD10252"/>
    <d v="2024-10-19T00:00:00"/>
    <s v="East"/>
    <s v="Bengal"/>
    <s v="Kolkata"/>
    <s v="Furniture"/>
    <s v="Desk"/>
    <n v="2"/>
    <n v="23004.28"/>
    <n v="0.05"/>
    <n v="43708.13"/>
    <n v="39381.03"/>
    <n v="4327.1000000000004"/>
  </r>
  <r>
    <s v="ORD10253"/>
    <d v="2024-02-07T00:00:00"/>
    <s v="South"/>
    <s v="Andhra Pradesh"/>
    <s v="Vijayawada"/>
    <s v="Furniture"/>
    <s v="Bookcase"/>
    <n v="3"/>
    <n v="22165.09"/>
    <n v="0.15"/>
    <n v="56520.98"/>
    <n v="39734.25"/>
    <n v="16786.73"/>
  </r>
  <r>
    <s v="ORD10254"/>
    <d v="2024-04-19T00:00:00"/>
    <s v="Central"/>
    <s v="Chhattisgarh"/>
    <s v="Bilaspur"/>
    <s v="Furniture"/>
    <s v="Table"/>
    <n v="4"/>
    <n v="14059.33"/>
    <n v="0"/>
    <n v="56237.32"/>
    <n v="41165.72"/>
    <n v="15071.6"/>
  </r>
  <r>
    <s v="ORD10255"/>
    <d v="2024-05-17T00:00:00"/>
    <s v="North"/>
    <s v="Uttar Pradesh"/>
    <s v="Kanpur"/>
    <s v="Technology"/>
    <s v="Laptop"/>
    <n v="1"/>
    <n v="28462.68"/>
    <n v="0"/>
    <n v="28462.68"/>
    <n v="23481.71"/>
    <n v="4980.97"/>
  </r>
  <r>
    <s v="ORD10256"/>
    <d v="2024-09-20T00:00:00"/>
    <s v="West"/>
    <s v="Maharashtra"/>
    <s v="Pune"/>
    <s v="Office Supplies"/>
    <s v="Folders"/>
    <n v="4"/>
    <n v="1365.08"/>
    <n v="0.15"/>
    <n v="4641.2700000000004"/>
    <n v="3202.48"/>
    <n v="1438.79"/>
  </r>
  <r>
    <s v="ORD10257"/>
    <d v="2025-02-19T00:00:00"/>
    <s v="South"/>
    <s v="Kerala"/>
    <s v="Kochi"/>
    <s v="Office Supplies"/>
    <s v="Paper"/>
    <n v="1"/>
    <n v="410.32"/>
    <n v="0.1"/>
    <n v="369.29"/>
    <n v="347.87"/>
    <n v="21.42"/>
  </r>
  <r>
    <s v="ORD10258"/>
    <d v="2024-09-11T00:00:00"/>
    <s v="East"/>
    <s v="Odisha"/>
    <s v="Cuttack"/>
    <s v="Technology"/>
    <s v="Router"/>
    <n v="1"/>
    <n v="61039.26"/>
    <n v="0"/>
    <n v="61039.26"/>
    <n v="43154.76"/>
    <n v="17884.5"/>
  </r>
  <r>
    <s v="ORD10259"/>
    <d v="2024-11-05T00:00:00"/>
    <s v="North"/>
    <s v="Delhi"/>
    <s v="New Delhi"/>
    <s v="Furniture"/>
    <s v="Bookcase"/>
    <n v="5"/>
    <n v="17933.68"/>
    <n v="0.05"/>
    <n v="85184.98"/>
    <n v="77092.41"/>
    <n v="8092.57"/>
  </r>
  <r>
    <s v="ORD10260"/>
    <d v="2025-04-21T00:00:00"/>
    <s v="Central"/>
    <s v="Madhya Pradesh"/>
    <s v="Indore"/>
    <s v="Furniture"/>
    <s v="Table"/>
    <n v="1"/>
    <n v="23231.439999999999"/>
    <n v="0"/>
    <n v="23231.439999999999"/>
    <n v="19421.48"/>
    <n v="3809.96"/>
  </r>
  <r>
    <s v="ORD10261"/>
    <d v="2024-11-14T00:00:00"/>
    <s v="East"/>
    <s v="Odisha"/>
    <s v="Cuttack"/>
    <s v="Furniture"/>
    <s v="Chair"/>
    <n v="4"/>
    <n v="7039.96"/>
    <n v="0.05"/>
    <n v="26751.85"/>
    <n v="18646.04"/>
    <n v="8105.81"/>
  </r>
  <r>
    <s v="ORD10262"/>
    <d v="2025-04-10T00:00:00"/>
    <s v="North"/>
    <s v="Haryana"/>
    <s v="Faridabad"/>
    <s v="Furniture"/>
    <s v="Table"/>
    <n v="2"/>
    <n v="22994.33"/>
    <n v="0"/>
    <n v="45988.66"/>
    <n v="37204.83"/>
    <n v="8783.83"/>
  </r>
  <r>
    <s v="ORD10263"/>
    <d v="2024-08-11T00:00:00"/>
    <s v="West"/>
    <s v="Gujarat"/>
    <s v="Ahmedabad"/>
    <s v="Furniture"/>
    <s v="Cabinet"/>
    <n v="1"/>
    <n v="14147.98"/>
    <n v="0"/>
    <n v="14147.98"/>
    <n v="12280.45"/>
    <n v="1867.53"/>
  </r>
  <r>
    <s v="ORD10264"/>
    <d v="2025-07-31T00:00:00"/>
    <s v="East"/>
    <s v="Bengal"/>
    <s v="Kolkata"/>
    <s v="Furniture"/>
    <s v="Table"/>
    <n v="1"/>
    <n v="5446.6"/>
    <n v="0"/>
    <n v="5446.6"/>
    <n v="3763.6"/>
    <n v="1683"/>
  </r>
  <r>
    <s v="ORD10265"/>
    <d v="2025-06-16T00:00:00"/>
    <s v="South"/>
    <s v="Karnataka"/>
    <s v="Bengaluru"/>
    <s v="Furniture"/>
    <s v="Table"/>
    <n v="2"/>
    <n v="13243.04"/>
    <n v="0"/>
    <n v="26486.080000000002"/>
    <n v="17215.95"/>
    <n v="9270.1299999999992"/>
  </r>
  <r>
    <s v="ORD10266"/>
    <d v="2025-04-01T00:00:00"/>
    <s v="East"/>
    <s v="Jharkhand"/>
    <s v="Ranchi"/>
    <s v="Furniture"/>
    <s v="Cabinet"/>
    <n v="5"/>
    <n v="12506.36"/>
    <n v="0.1"/>
    <n v="56278.62"/>
    <n v="44066.16"/>
    <n v="12212.46"/>
  </r>
  <r>
    <s v="ORD10267"/>
    <d v="2024-11-11T00:00:00"/>
    <s v="East"/>
    <s v="Jharkhand"/>
    <s v="Jamshedpur"/>
    <s v="Technology"/>
    <s v="Monitor"/>
    <n v="2"/>
    <n v="47529.97"/>
    <n v="0.1"/>
    <n v="85553.95"/>
    <n v="57064.480000000003"/>
    <n v="28489.47"/>
  </r>
  <r>
    <s v="ORD10268"/>
    <d v="2024-03-06T00:00:00"/>
    <s v="North"/>
    <s v="Delhi"/>
    <s v="New Delhi"/>
    <s v="Office Supplies"/>
    <s v="Paper"/>
    <n v="2"/>
    <n v="609.83000000000004"/>
    <n v="0.05"/>
    <n v="1158.68"/>
    <n v="1015"/>
    <n v="143.68"/>
  </r>
  <r>
    <s v="ORD10269"/>
    <d v="2025-03-06T00:00:00"/>
    <s v="Central"/>
    <s v="Chhattisgarh"/>
    <s v="Bilaspur"/>
    <s v="Office Supplies"/>
    <s v="Envelopes"/>
    <n v="1"/>
    <n v="206.49"/>
    <n v="0"/>
    <n v="206.49"/>
    <n v="188.11"/>
    <n v="18.38"/>
  </r>
  <r>
    <s v="ORD10270"/>
    <d v="2025-07-06T00:00:00"/>
    <s v="West"/>
    <s v="Gujarat"/>
    <s v="Surat"/>
    <s v="Technology"/>
    <s v="Monitor"/>
    <n v="4"/>
    <n v="79449.2"/>
    <n v="0"/>
    <n v="317796.8"/>
    <n v="244067.94"/>
    <n v="73728.86"/>
  </r>
  <r>
    <s v="ORD10271"/>
    <d v="2024-05-10T00:00:00"/>
    <s v="West"/>
    <s v="Maharashtra"/>
    <s v="Mumbai"/>
    <s v="Office Supplies"/>
    <s v="Envelopes"/>
    <n v="1"/>
    <n v="1363.32"/>
    <n v="0"/>
    <n v="1363.32"/>
    <n v="1019.76"/>
    <n v="343.56"/>
  </r>
  <r>
    <s v="ORD10272"/>
    <d v="2025-06-28T00:00:00"/>
    <s v="South"/>
    <s v="Tamil Nadu"/>
    <s v="Chennai"/>
    <s v="Office Supplies"/>
    <s v="Pens"/>
    <n v="1"/>
    <n v="352.49"/>
    <n v="0.15"/>
    <n v="299.62"/>
    <n v="252.58"/>
    <n v="47.04"/>
  </r>
  <r>
    <s v="ORD10273"/>
    <d v="2024-04-25T00:00:00"/>
    <s v="East"/>
    <s v="Jharkhand"/>
    <s v="Ranchi"/>
    <s v="Technology"/>
    <s v="Monitor"/>
    <n v="1"/>
    <n v="8181.4"/>
    <n v="0"/>
    <n v="8181.4"/>
    <n v="6127.87"/>
    <n v="2053.5300000000002"/>
  </r>
  <r>
    <s v="ORD10274"/>
    <d v="2025-04-02T00:00:00"/>
    <s v="North"/>
    <s v="Delhi"/>
    <s v="New Delhi"/>
    <s v="Furniture"/>
    <s v="Desk"/>
    <n v="1"/>
    <n v="11252.1"/>
    <n v="0"/>
    <n v="11252.1"/>
    <n v="8079.01"/>
    <n v="3173.09"/>
  </r>
  <r>
    <s v="ORD10275"/>
    <d v="2024-08-10T00:00:00"/>
    <s v="East"/>
    <s v="Assam"/>
    <s v="Dibrugarh"/>
    <s v="Technology"/>
    <s v="Headset"/>
    <n v="1"/>
    <n v="27555.58"/>
    <n v="0"/>
    <n v="27555.58"/>
    <n v="19123.57"/>
    <n v="8432.01"/>
  </r>
  <r>
    <s v="ORD10276"/>
    <d v="2024-11-24T00:00:00"/>
    <s v="West"/>
    <s v="Goa"/>
    <s v="Panaji"/>
    <s v="Furniture"/>
    <s v="Table"/>
    <n v="1"/>
    <n v="7083.98"/>
    <n v="0"/>
    <n v="7083.98"/>
    <n v="5539.67"/>
    <n v="1544.31"/>
  </r>
  <r>
    <s v="ORD10277"/>
    <d v="2024-03-03T00:00:00"/>
    <s v="North"/>
    <s v="Punjab"/>
    <s v="Ludhiana"/>
    <s v="Furniture"/>
    <s v="Cabinet"/>
    <n v="3"/>
    <n v="3078.33"/>
    <n v="0"/>
    <n v="9234.99"/>
    <n v="7655.81"/>
    <n v="1579.18"/>
  </r>
  <r>
    <s v="ORD10278"/>
    <d v="2025-01-25T00:00:00"/>
    <s v="North"/>
    <s v="Haryana"/>
    <s v="Faridabad"/>
    <s v="Office Supplies"/>
    <s v="Stapler"/>
    <n v="1"/>
    <n v="634.78"/>
    <n v="0.15"/>
    <n v="539.55999999999995"/>
    <n v="507.73"/>
    <n v="31.83"/>
  </r>
  <r>
    <s v="ORD10279"/>
    <d v="2025-04-29T00:00:00"/>
    <s v="West"/>
    <s v="Maharashtra"/>
    <s v="Pune"/>
    <s v="Furniture"/>
    <s v="Chair"/>
    <n v="2"/>
    <n v="20532.849999999999"/>
    <n v="0"/>
    <n v="41065.699999999997"/>
    <n v="31374.19"/>
    <n v="9691.51"/>
  </r>
  <r>
    <s v="ORD10280"/>
    <d v="2025-07-29T00:00:00"/>
    <s v="South"/>
    <s v="Andhra Pradesh"/>
    <s v="Vijayawada"/>
    <s v="Office Supplies"/>
    <s v="Stapler"/>
    <n v="2"/>
    <n v="547.24"/>
    <n v="0"/>
    <n v="1094.48"/>
    <n v="969.71"/>
    <n v="124.77"/>
  </r>
  <r>
    <s v="ORD10281"/>
    <d v="2024-03-21T00:00:00"/>
    <s v="South"/>
    <s v="Kerala"/>
    <s v="Kochi"/>
    <s v="Furniture"/>
    <s v="Chair"/>
    <n v="1"/>
    <n v="3185.34"/>
    <n v="0"/>
    <n v="3185.34"/>
    <n v="3013.33"/>
    <n v="172.01"/>
  </r>
  <r>
    <s v="ORD10282"/>
    <d v="2024-02-10T00:00:00"/>
    <s v="East"/>
    <s v="Assam"/>
    <s v="Guwahati"/>
    <s v="Office Supplies"/>
    <s v="Stapler"/>
    <n v="1"/>
    <n v="1745.47"/>
    <n v="0"/>
    <n v="1745.47"/>
    <n v="1349.25"/>
    <n v="396.22"/>
  </r>
  <r>
    <s v="ORD10283"/>
    <d v="2024-01-16T00:00:00"/>
    <s v="West"/>
    <s v="Maharashtra"/>
    <s v="Mumbai"/>
    <s v="Furniture"/>
    <s v="Cabinet"/>
    <n v="1"/>
    <n v="23032.15"/>
    <n v="0"/>
    <n v="23032.15"/>
    <n v="18863.330000000002"/>
    <n v="4168.82"/>
  </r>
  <r>
    <s v="ORD10284"/>
    <d v="2024-07-28T00:00:00"/>
    <s v="South"/>
    <s v="Tamil Nadu"/>
    <s v="Coimbatore"/>
    <s v="Office Supplies"/>
    <s v="Envelopes"/>
    <n v="3"/>
    <n v="959.19"/>
    <n v="0"/>
    <n v="2877.57"/>
    <n v="2434.42"/>
    <n v="443.15"/>
  </r>
  <r>
    <s v="ORD10285"/>
    <d v="2024-11-11T00:00:00"/>
    <s v="Central"/>
    <s v="Chhattisgarh"/>
    <s v="Bilaspur"/>
    <s v="Office Supplies"/>
    <s v="Paper"/>
    <n v="1"/>
    <n v="1615.49"/>
    <n v="0"/>
    <n v="1615.49"/>
    <n v="1155.08"/>
    <n v="460.41"/>
  </r>
  <r>
    <s v="ORD10286"/>
    <d v="2024-11-23T00:00:00"/>
    <s v="West"/>
    <s v="Goa"/>
    <s v="Margao"/>
    <s v="Office Supplies"/>
    <s v="Paper"/>
    <n v="1"/>
    <n v="1146.92"/>
    <n v="0"/>
    <n v="1146.92"/>
    <n v="875.1"/>
    <n v="271.82"/>
  </r>
  <r>
    <s v="ORD10287"/>
    <d v="2024-05-29T00:00:00"/>
    <s v="East"/>
    <s v="Odisha"/>
    <s v="Cuttack"/>
    <s v="Office Supplies"/>
    <s v="Stapler"/>
    <n v="3"/>
    <n v="432.57"/>
    <n v="0"/>
    <n v="1297.71"/>
    <n v="862.98"/>
    <n v="434.73"/>
  </r>
  <r>
    <s v="ORD10288"/>
    <d v="2025-08-06T00:00:00"/>
    <s v="West"/>
    <s v="Goa"/>
    <s v="Margao"/>
    <s v="Office Supplies"/>
    <s v="Envelopes"/>
    <n v="1"/>
    <n v="1934.69"/>
    <n v="0"/>
    <n v="1934.69"/>
    <n v="1300.1099999999999"/>
    <n v="634.58000000000004"/>
  </r>
  <r>
    <s v="ORD10289"/>
    <d v="2025-05-17T00:00:00"/>
    <s v="South"/>
    <s v="Tamil Nadu"/>
    <s v="Coimbatore"/>
    <s v="Technology"/>
    <s v="Monitor"/>
    <n v="1"/>
    <n v="58464.14"/>
    <n v="0"/>
    <n v="58464.14"/>
    <n v="51039.19"/>
    <n v="7424.95"/>
  </r>
  <r>
    <s v="ORD10290"/>
    <d v="2025-07-09T00:00:00"/>
    <s v="East"/>
    <s v="Bengal"/>
    <s v="Kolkata"/>
    <s v="Furniture"/>
    <s v="Desk"/>
    <n v="1"/>
    <n v="19579.79"/>
    <n v="0"/>
    <n v="19579.79"/>
    <n v="12844.34"/>
    <n v="6735.45"/>
  </r>
  <r>
    <s v="ORD10291"/>
    <d v="2024-08-24T00:00:00"/>
    <s v="East"/>
    <s v="Assam"/>
    <s v="Guwahati"/>
    <s v="Technology"/>
    <s v="Headset"/>
    <n v="1"/>
    <n v="38112.74"/>
    <n v="0.15"/>
    <n v="32395.83"/>
    <n v="27568.85"/>
    <n v="4826.9799999999996"/>
  </r>
  <r>
    <s v="ORD10292"/>
    <d v="2025-05-09T00:00:00"/>
    <s v="South"/>
    <s v="Karnataka"/>
    <s v="Bengaluru"/>
    <s v="Furniture"/>
    <s v="Table"/>
    <n v="1"/>
    <n v="11460.79"/>
    <n v="0.15"/>
    <n v="9741.67"/>
    <n v="8553.19"/>
    <n v="1188.48"/>
  </r>
  <r>
    <s v="ORD10293"/>
    <d v="2024-10-08T00:00:00"/>
    <s v="North"/>
    <s v="Haryana"/>
    <s v="Gurugram"/>
    <s v="Furniture"/>
    <s v="Cabinet"/>
    <n v="1"/>
    <n v="20541.86"/>
    <n v="0"/>
    <n v="20541.86"/>
    <n v="18713.63"/>
    <n v="1828.23"/>
  </r>
  <r>
    <s v="ORD10294"/>
    <d v="2024-04-19T00:00:00"/>
    <s v="East"/>
    <s v="Assam"/>
    <s v="Guwahati"/>
    <s v="Technology"/>
    <s v="Headset"/>
    <n v="1"/>
    <n v="43537.11"/>
    <n v="0"/>
    <n v="43537.11"/>
    <n v="39357.550000000003"/>
    <n v="4179.5600000000004"/>
  </r>
  <r>
    <s v="ORD10295"/>
    <d v="2024-09-30T00:00:00"/>
    <s v="South"/>
    <s v="Karnataka"/>
    <s v="Mysuru"/>
    <s v="Office Supplies"/>
    <s v="Envelopes"/>
    <n v="1"/>
    <n v="1151.75"/>
    <n v="0"/>
    <n v="1151.75"/>
    <n v="873.03"/>
    <n v="278.72000000000003"/>
  </r>
  <r>
    <s v="ORD10296"/>
    <d v="2024-08-19T00:00:00"/>
    <s v="Central"/>
    <s v="Madhya Pradesh"/>
    <s v="Bhopal"/>
    <s v="Technology"/>
    <s v="Router"/>
    <n v="1"/>
    <n v="32203.33"/>
    <n v="0"/>
    <n v="32203.33"/>
    <n v="27244.02"/>
    <n v="4959.3100000000004"/>
  </r>
  <r>
    <s v="ORD10297"/>
    <d v="2024-02-27T00:00:00"/>
    <s v="East"/>
    <s v="Assam"/>
    <s v="Guwahati"/>
    <s v="Office Supplies"/>
    <s v="Envelopes"/>
    <n v="3"/>
    <n v="1307.57"/>
    <n v="0"/>
    <n v="3922.71"/>
    <n v="3169.55"/>
    <n v="753.16"/>
  </r>
  <r>
    <s v="ORD10298"/>
    <d v="2024-04-07T00:00:00"/>
    <s v="North"/>
    <s v="Delhi"/>
    <s v="New Delhi"/>
    <s v="Technology"/>
    <s v="Headset"/>
    <n v="2"/>
    <n v="39613.519999999997"/>
    <n v="0.05"/>
    <n v="75265.69"/>
    <n v="67588.59"/>
    <n v="7677.1"/>
  </r>
  <r>
    <s v="ORD10299"/>
    <d v="2024-10-14T00:00:00"/>
    <s v="North"/>
    <s v="Delhi"/>
    <s v="New Delhi"/>
    <s v="Office Supplies"/>
    <s v="Paper"/>
    <n v="1"/>
    <n v="1924.86"/>
    <n v="0"/>
    <n v="1924.86"/>
    <n v="1805.52"/>
    <n v="119.34"/>
  </r>
  <r>
    <s v="ORD10300"/>
    <d v="2025-02-11T00:00:00"/>
    <s v="East"/>
    <s v="Odisha"/>
    <s v="Bhubaneswar"/>
    <s v="Furniture"/>
    <s v="Chair"/>
    <n v="1"/>
    <n v="15034.01"/>
    <n v="0"/>
    <n v="15034.01"/>
    <n v="13019.45"/>
    <n v="2014.56"/>
  </r>
  <r>
    <s v="ORD10301"/>
    <d v="2025-07-07T00:00:00"/>
    <s v="Central"/>
    <s v="Chhattisgarh"/>
    <s v="Raipur"/>
    <s v="Furniture"/>
    <s v="Desk"/>
    <n v="1"/>
    <n v="13518.24"/>
    <n v="0"/>
    <n v="13518.24"/>
    <n v="12477.34"/>
    <n v="1040.9000000000001"/>
  </r>
  <r>
    <s v="ORD10302"/>
    <d v="2024-02-24T00:00:00"/>
    <s v="East"/>
    <s v="Jharkhand"/>
    <s v="Ranchi"/>
    <s v="Technology"/>
    <s v="Printer"/>
    <n v="1"/>
    <n v="49597.99"/>
    <n v="0"/>
    <n v="49597.99"/>
    <n v="40273.57"/>
    <n v="9324.42"/>
  </r>
  <r>
    <s v="ORD10303"/>
    <d v="2025-02-10T00:00:00"/>
    <s v="Central"/>
    <s v="Madhya Pradesh"/>
    <s v="Indore"/>
    <s v="Office Supplies"/>
    <s v="Envelopes"/>
    <n v="1"/>
    <n v="494.87"/>
    <n v="0"/>
    <n v="494.87"/>
    <n v="416.19"/>
    <n v="78.680000000000007"/>
  </r>
  <r>
    <s v="ORD10304"/>
    <d v="2025-01-19T00:00:00"/>
    <s v="South"/>
    <s v="Tamil Nadu"/>
    <s v="Coimbatore"/>
    <s v="Technology"/>
    <s v="Headset"/>
    <n v="1"/>
    <n v="25744.22"/>
    <n v="0"/>
    <n v="25744.22"/>
    <n v="19127.96"/>
    <n v="6616.26"/>
  </r>
  <r>
    <s v="ORD10305"/>
    <d v="2024-03-16T00:00:00"/>
    <s v="East"/>
    <s v="Odisha"/>
    <s v="Bhubaneswar"/>
    <s v="Office Supplies"/>
    <s v="Stapler"/>
    <n v="1"/>
    <n v="1492.33"/>
    <n v="0"/>
    <n v="1492.33"/>
    <n v="1059.55"/>
    <n v="432.78"/>
  </r>
  <r>
    <s v="ORD10306"/>
    <d v="2024-04-19T00:00:00"/>
    <s v="East"/>
    <s v="Bengal"/>
    <s v="Siliguri"/>
    <s v="Office Supplies"/>
    <s v="Pens"/>
    <n v="1"/>
    <n v="1534.63"/>
    <n v="0.05"/>
    <n v="1457.9"/>
    <n v="1348.56"/>
    <n v="109.34"/>
  </r>
  <r>
    <s v="ORD10307"/>
    <d v="2024-07-10T00:00:00"/>
    <s v="South"/>
    <s v="Andhra Pradesh"/>
    <s v="Visakhapatnam"/>
    <s v="Technology"/>
    <s v="Laptop"/>
    <n v="3"/>
    <n v="9900.65"/>
    <n v="0"/>
    <n v="29701.95"/>
    <n v="20019.11"/>
    <n v="9682.84"/>
  </r>
  <r>
    <s v="ORD10308"/>
    <d v="2024-11-28T00:00:00"/>
    <s v="South"/>
    <s v="Karnataka"/>
    <s v="Mysuru"/>
    <s v="Office Supplies"/>
    <s v="Envelopes"/>
    <n v="1"/>
    <n v="1569.38"/>
    <n v="0"/>
    <n v="1569.38"/>
    <n v="1360.65"/>
    <n v="208.73"/>
  </r>
  <r>
    <s v="ORD10309"/>
    <d v="2025-07-26T00:00:00"/>
    <s v="West"/>
    <s v="Gujarat"/>
    <s v="Ahmedabad"/>
    <s v="Furniture"/>
    <s v="Cabinet"/>
    <n v="2"/>
    <n v="5898.54"/>
    <n v="0"/>
    <n v="11797.08"/>
    <n v="8564.68"/>
    <n v="3232.4"/>
  </r>
  <r>
    <s v="ORD10310"/>
    <d v="2024-10-01T00:00:00"/>
    <s v="South"/>
    <s v="Tamil Nadu"/>
    <s v="Chennai"/>
    <s v="Technology"/>
    <s v="Router"/>
    <n v="1"/>
    <n v="24249.06"/>
    <n v="0"/>
    <n v="24249.06"/>
    <n v="21508.92"/>
    <n v="2740.14"/>
  </r>
  <r>
    <s v="ORD10311"/>
    <d v="2024-03-19T00:00:00"/>
    <s v="Central"/>
    <s v="Chhattisgarh"/>
    <s v="Raipur"/>
    <s v="Furniture"/>
    <s v="Cabinet"/>
    <n v="1"/>
    <n v="15657.55"/>
    <n v="0.05"/>
    <n v="14874.67"/>
    <n v="11974.11"/>
    <n v="2900.56"/>
  </r>
  <r>
    <s v="ORD10312"/>
    <d v="2024-05-18T00:00:00"/>
    <s v="Central"/>
    <s v="Madhya Pradesh"/>
    <s v="Indore"/>
    <s v="Office Supplies"/>
    <s v="Folders"/>
    <n v="1"/>
    <n v="790.79"/>
    <n v="0"/>
    <n v="790.79"/>
    <n v="663.47"/>
    <n v="127.32"/>
  </r>
  <r>
    <s v="ORD10313"/>
    <d v="2025-03-26T00:00:00"/>
    <s v="Central"/>
    <s v="Chhattisgarh"/>
    <s v="Raipur"/>
    <s v="Office Supplies"/>
    <s v="Pens"/>
    <n v="1"/>
    <n v="1226.26"/>
    <n v="0"/>
    <n v="1226.26"/>
    <n v="890.26"/>
    <n v="336"/>
  </r>
  <r>
    <s v="ORD10314"/>
    <d v="2025-05-05T00:00:00"/>
    <s v="Central"/>
    <s v="Madhya Pradesh"/>
    <s v="Indore"/>
    <s v="Office Supplies"/>
    <s v="Pens"/>
    <n v="1"/>
    <n v="1483.01"/>
    <n v="0"/>
    <n v="1483.01"/>
    <n v="1296.1500000000001"/>
    <n v="186.86"/>
  </r>
  <r>
    <s v="ORD10315"/>
    <d v="2025-08-12T00:00:00"/>
    <s v="West"/>
    <s v="Goa"/>
    <s v="Margao"/>
    <s v="Office Supplies"/>
    <s v="Envelopes"/>
    <n v="2"/>
    <n v="761.78"/>
    <n v="0"/>
    <n v="1523.56"/>
    <n v="1037.54"/>
    <n v="486.02"/>
  </r>
  <r>
    <s v="ORD10316"/>
    <d v="2024-07-23T00:00:00"/>
    <s v="North"/>
    <s v="Punjab"/>
    <s v="Amritsar"/>
    <s v="Furniture"/>
    <s v="Cabinet"/>
    <n v="1"/>
    <n v="23688.42"/>
    <n v="0"/>
    <n v="23688.42"/>
    <n v="18713.849999999999"/>
    <n v="4974.57"/>
  </r>
  <r>
    <s v="ORD10317"/>
    <d v="2024-10-25T00:00:00"/>
    <s v="East"/>
    <s v="Jharkhand"/>
    <s v="Jamshedpur"/>
    <s v="Technology"/>
    <s v="Printer"/>
    <n v="1"/>
    <n v="21635.63"/>
    <n v="0"/>
    <n v="21635.63"/>
    <n v="17654.669999999998"/>
    <n v="3980.96"/>
  </r>
  <r>
    <s v="ORD10318"/>
    <d v="2025-03-09T00:00:00"/>
    <s v="South"/>
    <s v="Karnataka"/>
    <s v="Mysuru"/>
    <s v="Furniture"/>
    <s v="Cabinet"/>
    <n v="1"/>
    <n v="15391.61"/>
    <n v="0"/>
    <n v="15391.61"/>
    <n v="13498.44"/>
    <n v="1893.17"/>
  </r>
  <r>
    <s v="ORD10319"/>
    <d v="2025-03-04T00:00:00"/>
    <s v="North"/>
    <s v="Delhi"/>
    <s v="New Delhi"/>
    <s v="Furniture"/>
    <s v="Table"/>
    <n v="1"/>
    <n v="15657.86"/>
    <n v="0"/>
    <n v="15657.86"/>
    <n v="13105.63"/>
    <n v="2552.23"/>
  </r>
  <r>
    <s v="ORD10320"/>
    <d v="2024-04-21T00:00:00"/>
    <s v="West"/>
    <s v="Gujarat"/>
    <s v="Surat"/>
    <s v="Technology"/>
    <s v="Headset"/>
    <n v="1"/>
    <n v="6410.85"/>
    <n v="0"/>
    <n v="6410.85"/>
    <n v="5468.46"/>
    <n v="942.39"/>
  </r>
  <r>
    <s v="ORD10321"/>
    <d v="2025-02-13T00:00:00"/>
    <s v="Central"/>
    <s v="Chhattisgarh"/>
    <s v="Raipur"/>
    <s v="Technology"/>
    <s v="Laptop"/>
    <n v="1"/>
    <n v="22922.85"/>
    <n v="0"/>
    <n v="22922.85"/>
    <n v="19530.27"/>
    <n v="3392.58"/>
  </r>
  <r>
    <s v="ORD10322"/>
    <d v="2025-06-15T00:00:00"/>
    <s v="North"/>
    <s v="Punjab"/>
    <s v="Ludhiana"/>
    <s v="Office Supplies"/>
    <s v="Envelopes"/>
    <n v="1"/>
    <n v="952.97"/>
    <n v="0"/>
    <n v="952.97"/>
    <n v="650.88"/>
    <n v="302.08999999999997"/>
  </r>
  <r>
    <s v="ORD10323"/>
    <d v="2025-05-27T00:00:00"/>
    <s v="West"/>
    <s v="Goa"/>
    <s v="Panaji"/>
    <s v="Office Supplies"/>
    <s v="Paper"/>
    <n v="1"/>
    <n v="626.09"/>
    <n v="0"/>
    <n v="626.09"/>
    <n v="467.06"/>
    <n v="159.03"/>
  </r>
  <r>
    <s v="ORD10324"/>
    <d v="2024-03-28T00:00:00"/>
    <s v="East"/>
    <s v="Assam"/>
    <s v="Dibrugarh"/>
    <s v="Office Supplies"/>
    <s v="Pens"/>
    <n v="2"/>
    <n v="937.9"/>
    <n v="0"/>
    <n v="1875.8"/>
    <n v="1500.64"/>
    <n v="375.16"/>
  </r>
  <r>
    <s v="ORD10325"/>
    <d v="2025-05-09T00:00:00"/>
    <s v="Central"/>
    <s v="Chhattisgarh"/>
    <s v="Raipur"/>
    <s v="Office Supplies"/>
    <s v="Envelopes"/>
    <n v="1"/>
    <n v="671.87"/>
    <n v="0"/>
    <n v="671.87"/>
    <n v="530.11"/>
    <n v="141.76"/>
  </r>
  <r>
    <s v="ORD10326"/>
    <d v="2024-04-27T00:00:00"/>
    <s v="East"/>
    <s v="Odisha"/>
    <s v="Bhubaneswar"/>
    <s v="Furniture"/>
    <s v="Chair"/>
    <n v="1"/>
    <n v="23388.22"/>
    <n v="0"/>
    <n v="23388.22"/>
    <n v="16979.849999999999"/>
    <n v="6408.37"/>
  </r>
  <r>
    <s v="ORD10327"/>
    <d v="2025-06-12T00:00:00"/>
    <s v="West"/>
    <s v="Gujarat"/>
    <s v="Ahmedabad"/>
    <s v="Office Supplies"/>
    <s v="Folders"/>
    <n v="1"/>
    <n v="881.42"/>
    <n v="0"/>
    <n v="881.42"/>
    <n v="803.86"/>
    <n v="77.56"/>
  </r>
  <r>
    <s v="ORD10328"/>
    <d v="2025-02-18T00:00:00"/>
    <s v="West"/>
    <s v="Maharashtra"/>
    <s v="Pune"/>
    <s v="Office Supplies"/>
    <s v="Paper"/>
    <n v="1"/>
    <n v="1487.91"/>
    <n v="0"/>
    <n v="1487.91"/>
    <n v="1251.33"/>
    <n v="236.58"/>
  </r>
  <r>
    <s v="ORD10329"/>
    <d v="2025-04-05T00:00:00"/>
    <s v="North"/>
    <s v="Uttar Pradesh"/>
    <s v="Kanpur"/>
    <s v="Technology"/>
    <s v="Monitor"/>
    <n v="1"/>
    <n v="18845.400000000001"/>
    <n v="0"/>
    <n v="18845.400000000001"/>
    <n v="14680.57"/>
    <n v="4164.83"/>
  </r>
  <r>
    <s v="ORD10330"/>
    <d v="2024-03-05T00:00:00"/>
    <s v="North"/>
    <s v="Delhi"/>
    <s v="New Delhi"/>
    <s v="Office Supplies"/>
    <s v="Pens"/>
    <n v="1"/>
    <n v="434.29"/>
    <n v="0.15"/>
    <n v="369.15"/>
    <n v="241.42"/>
    <n v="127.73"/>
  </r>
  <r>
    <s v="ORD10331"/>
    <d v="2025-05-16T00:00:00"/>
    <s v="North"/>
    <s v="Haryana"/>
    <s v="Faridabad"/>
    <s v="Furniture"/>
    <s v="Cabinet"/>
    <n v="1"/>
    <n v="15501.11"/>
    <n v="0"/>
    <n v="15501.11"/>
    <n v="13625.48"/>
    <n v="1875.63"/>
  </r>
  <r>
    <s v="ORD10332"/>
    <d v="2025-04-13T00:00:00"/>
    <s v="North"/>
    <s v="Punjab"/>
    <s v="Ludhiana"/>
    <s v="Furniture"/>
    <s v="Table"/>
    <n v="1"/>
    <n v="3949.3"/>
    <n v="0.05"/>
    <n v="3751.84"/>
    <n v="3391.66"/>
    <n v="360.18"/>
  </r>
  <r>
    <s v="ORD10333"/>
    <d v="2024-09-01T00:00:00"/>
    <s v="Central"/>
    <s v="Madhya Pradesh"/>
    <s v="Bhopal"/>
    <s v="Office Supplies"/>
    <s v="Stapler"/>
    <n v="1"/>
    <n v="1046.1099999999999"/>
    <n v="0"/>
    <n v="1046.1099999999999"/>
    <n v="943.59"/>
    <n v="102.52"/>
  </r>
  <r>
    <s v="ORD10334"/>
    <d v="2024-05-21T00:00:00"/>
    <s v="North"/>
    <s v="Uttar Pradesh"/>
    <s v="Kanpur"/>
    <s v="Technology"/>
    <s v="Router"/>
    <n v="1"/>
    <n v="51933.63"/>
    <n v="0"/>
    <n v="51933.63"/>
    <n v="44870.66"/>
    <n v="7062.97"/>
  </r>
  <r>
    <s v="ORD10335"/>
    <d v="2024-06-26T00:00:00"/>
    <s v="North"/>
    <s v="Punjab"/>
    <s v="Ludhiana"/>
    <s v="Office Supplies"/>
    <s v="Stapler"/>
    <n v="1"/>
    <n v="414.84"/>
    <n v="0"/>
    <n v="414.84"/>
    <n v="282.51"/>
    <n v="132.33000000000001"/>
  </r>
  <r>
    <s v="ORD10336"/>
    <d v="2024-02-24T00:00:00"/>
    <s v="Central"/>
    <s v="Madhya Pradesh"/>
    <s v="Indore"/>
    <s v="Technology"/>
    <s v="Monitor"/>
    <n v="1"/>
    <n v="65771.63"/>
    <n v="0"/>
    <n v="65771.63"/>
    <n v="52156.9"/>
    <n v="13614.73"/>
  </r>
  <r>
    <s v="ORD10337"/>
    <d v="2025-06-01T00:00:00"/>
    <s v="South"/>
    <s v="Andhra Pradesh"/>
    <s v="Visakhapatnam"/>
    <s v="Office Supplies"/>
    <s v="Envelopes"/>
    <n v="1"/>
    <n v="1002.96"/>
    <n v="0.05"/>
    <n v="952.81"/>
    <n v="624.09"/>
    <n v="328.72"/>
  </r>
  <r>
    <s v="ORD10338"/>
    <d v="2024-08-13T00:00:00"/>
    <s v="Central"/>
    <s v="Madhya Pradesh"/>
    <s v="Indore"/>
    <s v="Technology"/>
    <s v="Headset"/>
    <n v="1"/>
    <n v="25227.61"/>
    <n v="0"/>
    <n v="25227.61"/>
    <n v="20964.14"/>
    <n v="4263.47"/>
  </r>
  <r>
    <s v="ORD10339"/>
    <d v="2025-08-02T00:00:00"/>
    <s v="South"/>
    <s v="Karnataka"/>
    <s v="Bengaluru"/>
    <s v="Office Supplies"/>
    <s v="Folders"/>
    <n v="4"/>
    <n v="1655.4"/>
    <n v="0"/>
    <n v="6621.6"/>
    <n v="4568.8999999999996"/>
    <n v="2052.6999999999998"/>
  </r>
  <r>
    <s v="ORD10340"/>
    <d v="2024-02-12T00:00:00"/>
    <s v="South"/>
    <s v="Tamil Nadu"/>
    <s v="Coimbatore"/>
    <s v="Technology"/>
    <s v="Monitor"/>
    <n v="2"/>
    <n v="25923.59"/>
    <n v="0"/>
    <n v="51847.18"/>
    <n v="45262.59"/>
    <n v="6584.59"/>
  </r>
  <r>
    <s v="ORD10341"/>
    <d v="2025-04-05T00:00:00"/>
    <s v="Central"/>
    <s v="Chhattisgarh"/>
    <s v="Raipur"/>
    <s v="Office Supplies"/>
    <s v="Paper"/>
    <n v="1"/>
    <n v="1562.48"/>
    <n v="0"/>
    <n v="1562.48"/>
    <n v="1170.3"/>
    <n v="392.18"/>
  </r>
  <r>
    <s v="ORD10342"/>
    <d v="2025-08-25T00:00:00"/>
    <s v="Central"/>
    <s v="Chhattisgarh"/>
    <s v="Raipur"/>
    <s v="Furniture"/>
    <s v="Chair"/>
    <n v="3"/>
    <n v="20051.53"/>
    <n v="0"/>
    <n v="60154.59"/>
    <n v="47101.04"/>
    <n v="13053.55"/>
  </r>
  <r>
    <s v="ORD10343"/>
    <d v="2024-03-01T00:00:00"/>
    <s v="North"/>
    <s v="Haryana"/>
    <s v="Faridabad"/>
    <s v="Furniture"/>
    <s v="Table"/>
    <n v="1"/>
    <n v="5872.68"/>
    <n v="0"/>
    <n v="5872.68"/>
    <n v="5085.74"/>
    <n v="786.94"/>
  </r>
  <r>
    <s v="ORD10344"/>
    <d v="2024-10-26T00:00:00"/>
    <s v="Central"/>
    <s v="Chhattisgarh"/>
    <s v="Raipur"/>
    <s v="Technology"/>
    <s v="Router"/>
    <n v="2"/>
    <n v="73745.19"/>
    <n v="0"/>
    <n v="147490.38"/>
    <n v="131856.4"/>
    <n v="15633.98"/>
  </r>
  <r>
    <s v="ORD10345"/>
    <d v="2024-05-09T00:00:00"/>
    <s v="West"/>
    <s v="Maharashtra"/>
    <s v="Mumbai"/>
    <s v="Furniture"/>
    <s v="Bookcase"/>
    <n v="1"/>
    <n v="21055.08"/>
    <n v="0"/>
    <n v="21055.08"/>
    <n v="17307.28"/>
    <n v="3747.8"/>
  </r>
  <r>
    <s v="ORD10346"/>
    <d v="2025-02-06T00:00:00"/>
    <s v="South"/>
    <s v="Tamil Nadu"/>
    <s v="Coimbatore"/>
    <s v="Furniture"/>
    <s v="Cabinet"/>
    <n v="1"/>
    <n v="10628.96"/>
    <n v="0.05"/>
    <n v="10097.51"/>
    <n v="8855.52"/>
    <n v="1241.99"/>
  </r>
  <r>
    <s v="ORD10347"/>
    <d v="2025-02-16T00:00:00"/>
    <s v="North"/>
    <s v="Haryana"/>
    <s v="Faridabad"/>
    <s v="Office Supplies"/>
    <s v="Envelopes"/>
    <n v="1"/>
    <n v="688.21"/>
    <n v="0.15"/>
    <n v="584.98"/>
    <n v="448.68"/>
    <n v="136.30000000000001"/>
  </r>
  <r>
    <s v="ORD10348"/>
    <d v="2024-04-05T00:00:00"/>
    <s v="South"/>
    <s v="Kerala"/>
    <s v="Kochi"/>
    <s v="Furniture"/>
    <s v="Cabinet"/>
    <n v="1"/>
    <n v="7010.09"/>
    <n v="0"/>
    <n v="7010.09"/>
    <n v="5439.83"/>
    <n v="1570.26"/>
  </r>
  <r>
    <s v="ORD10349"/>
    <d v="2024-08-04T00:00:00"/>
    <s v="South"/>
    <s v="Kerala"/>
    <s v="Thiruvananthapuram"/>
    <s v="Office Supplies"/>
    <s v="Pens"/>
    <n v="1"/>
    <n v="1117.26"/>
    <n v="0.1"/>
    <n v="1005.53"/>
    <n v="810.46"/>
    <n v="195.07"/>
  </r>
  <r>
    <s v="ORD10350"/>
    <d v="2024-12-17T00:00:00"/>
    <s v="East"/>
    <s v="Bengal"/>
    <s v="Kolkata"/>
    <s v="Furniture"/>
    <s v="Cabinet"/>
    <n v="1"/>
    <n v="2374.4699999999998"/>
    <n v="0"/>
    <n v="2374.4699999999998"/>
    <n v="2217.75"/>
    <n v="156.72"/>
  </r>
  <r>
    <s v="ORD10351"/>
    <d v="2024-06-10T00:00:00"/>
    <s v="South"/>
    <s v="Andhra Pradesh"/>
    <s v="Vijayawada"/>
    <s v="Office Supplies"/>
    <s v="Stapler"/>
    <n v="1"/>
    <n v="1991.6"/>
    <n v="0"/>
    <n v="1991.6"/>
    <n v="1812.36"/>
    <n v="179.24"/>
  </r>
  <r>
    <s v="ORD10352"/>
    <d v="2024-11-05T00:00:00"/>
    <s v="West"/>
    <s v="Goa"/>
    <s v="Panaji"/>
    <s v="Furniture"/>
    <s v="Bookcase"/>
    <n v="1"/>
    <n v="7758.95"/>
    <n v="0"/>
    <n v="7758.95"/>
    <n v="5066.59"/>
    <n v="2692.36"/>
  </r>
  <r>
    <s v="ORD10353"/>
    <d v="2024-06-18T00:00:00"/>
    <s v="East"/>
    <s v="Jharkhand"/>
    <s v="Jamshedpur"/>
    <s v="Furniture"/>
    <s v="Chair"/>
    <n v="1"/>
    <n v="11872.31"/>
    <n v="0.05"/>
    <n v="11278.69"/>
    <n v="7974.03"/>
    <n v="3304.66"/>
  </r>
  <r>
    <s v="ORD10354"/>
    <d v="2024-01-02T00:00:00"/>
    <s v="West"/>
    <s v="Goa"/>
    <s v="Panaji"/>
    <s v="Technology"/>
    <s v="Headset"/>
    <n v="1"/>
    <n v="20416.7"/>
    <n v="0"/>
    <n v="20416.7"/>
    <n v="15230.86"/>
    <n v="5185.84"/>
  </r>
  <r>
    <s v="ORD10355"/>
    <d v="2024-01-10T00:00:00"/>
    <s v="East"/>
    <s v="Odisha"/>
    <s v="Bhubaneswar"/>
    <s v="Office Supplies"/>
    <s v="Stapler"/>
    <n v="2"/>
    <n v="981.52"/>
    <n v="0"/>
    <n v="1963.04"/>
    <n v="1513.5"/>
    <n v="449.54"/>
  </r>
  <r>
    <s v="ORD10356"/>
    <d v="2024-04-01T00:00:00"/>
    <s v="East"/>
    <s v="Bengal"/>
    <s v="Siliguri"/>
    <s v="Office Supplies"/>
    <s v="Pens"/>
    <n v="1"/>
    <n v="317.39999999999998"/>
    <n v="0"/>
    <n v="317.39999999999998"/>
    <n v="262.17"/>
    <n v="55.23"/>
  </r>
  <r>
    <s v="ORD10357"/>
    <d v="2024-05-16T00:00:00"/>
    <s v="West"/>
    <s v="Maharashtra"/>
    <s v="Mumbai"/>
    <s v="Furniture"/>
    <s v="Chair"/>
    <n v="1"/>
    <n v="12122.29"/>
    <n v="0"/>
    <n v="12122.29"/>
    <n v="8134.06"/>
    <n v="3988.23"/>
  </r>
  <r>
    <s v="ORD10358"/>
    <d v="2024-06-04T00:00:00"/>
    <s v="South"/>
    <s v="Andhra Pradesh"/>
    <s v="Vijayawada"/>
    <s v="Technology"/>
    <s v="Laptop"/>
    <n v="2"/>
    <n v="13781.01"/>
    <n v="0.15"/>
    <n v="23427.72"/>
    <n v="15462.3"/>
    <n v="7965.42"/>
  </r>
  <r>
    <s v="ORD10359"/>
    <d v="2025-01-28T00:00:00"/>
    <s v="Central"/>
    <s v="Chhattisgarh"/>
    <s v="Bilaspur"/>
    <s v="Technology"/>
    <s v="Monitor"/>
    <n v="1"/>
    <n v="24326.51"/>
    <n v="0.15"/>
    <n v="20677.53"/>
    <n v="15115.27"/>
    <n v="5562.26"/>
  </r>
  <r>
    <s v="ORD10360"/>
    <d v="2024-10-18T00:00:00"/>
    <s v="East"/>
    <s v="Odisha"/>
    <s v="Bhubaneswar"/>
    <s v="Furniture"/>
    <s v="Table"/>
    <n v="4"/>
    <n v="13719.02"/>
    <n v="0"/>
    <n v="54876.08"/>
    <n v="49168.97"/>
    <n v="5707.11"/>
  </r>
  <r>
    <s v="ORD10361"/>
    <d v="2024-10-29T00:00:00"/>
    <s v="East"/>
    <s v="Assam"/>
    <s v="Dibrugarh"/>
    <s v="Office Supplies"/>
    <s v="Paper"/>
    <n v="1"/>
    <n v="520.11"/>
    <n v="0"/>
    <n v="520.11"/>
    <n v="378.64"/>
    <n v="141.47"/>
  </r>
  <r>
    <s v="ORD10362"/>
    <d v="2024-03-13T00:00:00"/>
    <s v="North"/>
    <s v="Delhi"/>
    <s v="New Delhi"/>
    <s v="Office Supplies"/>
    <s v="Stapler"/>
    <n v="1"/>
    <n v="804.33"/>
    <n v="0"/>
    <n v="804.33"/>
    <n v="560.62"/>
    <n v="243.71"/>
  </r>
  <r>
    <s v="ORD10363"/>
    <d v="2025-03-06T00:00:00"/>
    <s v="Central"/>
    <s v="Madhya Pradesh"/>
    <s v="Indore"/>
    <s v="Technology"/>
    <s v="Laptop"/>
    <n v="1"/>
    <n v="48226.99"/>
    <n v="0.05"/>
    <n v="45815.64"/>
    <n v="32574.92"/>
    <n v="13240.72"/>
  </r>
  <r>
    <s v="ORD10364"/>
    <d v="2024-02-10T00:00:00"/>
    <s v="East"/>
    <s v="Jharkhand"/>
    <s v="Jamshedpur"/>
    <s v="Furniture"/>
    <s v="Table"/>
    <n v="1"/>
    <n v="19643.53"/>
    <n v="0"/>
    <n v="19643.53"/>
    <n v="17698.82"/>
    <n v="1944.71"/>
  </r>
  <r>
    <s v="ORD10365"/>
    <d v="2025-02-15T00:00:00"/>
    <s v="East"/>
    <s v="Assam"/>
    <s v="Dibrugarh"/>
    <s v="Technology"/>
    <s v="Printer"/>
    <n v="1"/>
    <n v="9084.66"/>
    <n v="0"/>
    <n v="9084.66"/>
    <n v="6413.77"/>
    <n v="2670.89"/>
  </r>
  <r>
    <s v="ORD10366"/>
    <d v="2024-06-08T00:00:00"/>
    <s v="North"/>
    <s v="Haryana"/>
    <s v="Faridabad"/>
    <s v="Furniture"/>
    <s v="Desk"/>
    <n v="2"/>
    <n v="9133.9"/>
    <n v="0"/>
    <n v="18267.8"/>
    <n v="14486.37"/>
    <n v="3781.43"/>
  </r>
  <r>
    <s v="ORD10367"/>
    <d v="2024-09-01T00:00:00"/>
    <s v="East"/>
    <s v="Assam"/>
    <s v="Guwahati"/>
    <s v="Office Supplies"/>
    <s v="Paper"/>
    <n v="1"/>
    <n v="934.08"/>
    <n v="0"/>
    <n v="934.08"/>
    <n v="641.71"/>
    <n v="292.37"/>
  </r>
  <r>
    <s v="ORD10368"/>
    <d v="2024-11-12T00:00:00"/>
    <s v="West"/>
    <s v="Maharashtra"/>
    <s v="Mumbai"/>
    <s v="Furniture"/>
    <s v="Chair"/>
    <n v="1"/>
    <n v="18134.490000000002"/>
    <n v="0.1"/>
    <n v="16321.04"/>
    <n v="11506.33"/>
    <n v="4814.71"/>
  </r>
  <r>
    <s v="ORD10369"/>
    <d v="2025-06-19T00:00:00"/>
    <s v="North"/>
    <s v="Haryana"/>
    <s v="Gurugram"/>
    <s v="Office Supplies"/>
    <s v="Stapler"/>
    <n v="1"/>
    <n v="1512.06"/>
    <n v="0"/>
    <n v="1512.06"/>
    <n v="1265.5899999999999"/>
    <n v="246.47"/>
  </r>
  <r>
    <s v="ORD10370"/>
    <d v="2024-04-30T00:00:00"/>
    <s v="East"/>
    <s v="Odisha"/>
    <s v="Cuttack"/>
    <s v="Office Supplies"/>
    <s v="Folders"/>
    <n v="1"/>
    <n v="174.55"/>
    <n v="0"/>
    <n v="174.55"/>
    <n v="150.11000000000001"/>
    <n v="24.44"/>
  </r>
  <r>
    <s v="ORD10371"/>
    <d v="2025-08-13T00:00:00"/>
    <s v="East"/>
    <s v="Jharkhand"/>
    <s v="Jamshedpur"/>
    <s v="Furniture"/>
    <s v="Bookcase"/>
    <n v="2"/>
    <n v="3275.1"/>
    <n v="0"/>
    <n v="6550.2"/>
    <n v="5233.6099999999997"/>
    <n v="1316.59"/>
  </r>
  <r>
    <s v="ORD10372"/>
    <d v="2024-06-19T00:00:00"/>
    <s v="Central"/>
    <s v="Madhya Pradesh"/>
    <s v="Indore"/>
    <s v="Technology"/>
    <s v="Headset"/>
    <n v="1"/>
    <n v="54907.27"/>
    <n v="0.15"/>
    <n v="46671.18"/>
    <n v="31736.400000000001"/>
    <n v="14934.78"/>
  </r>
  <r>
    <s v="ORD10373"/>
    <d v="2025-06-05T00:00:00"/>
    <s v="East"/>
    <s v="Bengal"/>
    <s v="Kolkata"/>
    <s v="Technology"/>
    <s v="Laptop"/>
    <n v="1"/>
    <n v="39325.870000000003"/>
    <n v="0"/>
    <n v="39325.870000000003"/>
    <n v="30949.46"/>
    <n v="8376.41"/>
  </r>
  <r>
    <s v="ORD10374"/>
    <d v="2024-06-02T00:00:00"/>
    <s v="West"/>
    <s v="Maharashtra"/>
    <s v="Pune"/>
    <s v="Technology"/>
    <s v="Printer"/>
    <n v="3"/>
    <n v="22116.27"/>
    <n v="0"/>
    <n v="66348.81"/>
    <n v="50624.14"/>
    <n v="15724.67"/>
  </r>
  <r>
    <s v="ORD10375"/>
    <d v="2024-11-23T00:00:00"/>
    <s v="Central"/>
    <s v="Madhya Pradesh"/>
    <s v="Indore"/>
    <s v="Technology"/>
    <s v="Headset"/>
    <n v="1"/>
    <n v="54846.080000000002"/>
    <n v="0.05"/>
    <n v="52103.78"/>
    <n v="34805.33"/>
    <n v="17298.45"/>
  </r>
  <r>
    <s v="ORD10376"/>
    <d v="2025-06-12T00:00:00"/>
    <s v="East"/>
    <s v="Jharkhand"/>
    <s v="Ranchi"/>
    <s v="Office Supplies"/>
    <s v="Pens"/>
    <n v="1"/>
    <n v="1558.38"/>
    <n v="0"/>
    <n v="1558.38"/>
    <n v="1324.62"/>
    <n v="233.76"/>
  </r>
  <r>
    <s v="ORD10377"/>
    <d v="2024-03-29T00:00:00"/>
    <s v="North"/>
    <s v="Uttar Pradesh"/>
    <s v="Lucknow"/>
    <s v="Office Supplies"/>
    <s v="Stapler"/>
    <n v="1"/>
    <n v="618.61"/>
    <n v="0"/>
    <n v="618.61"/>
    <n v="440.45"/>
    <n v="178.16"/>
  </r>
  <r>
    <s v="ORD10378"/>
    <d v="2024-09-05T00:00:00"/>
    <s v="South"/>
    <s v="Kerala"/>
    <s v="Thiruvananthapuram"/>
    <s v="Technology"/>
    <s v="Headset"/>
    <n v="1"/>
    <n v="61557.13"/>
    <n v="0"/>
    <n v="61557.13"/>
    <n v="48630.13"/>
    <n v="12927"/>
  </r>
  <r>
    <s v="ORD10379"/>
    <d v="2024-01-07T00:00:00"/>
    <s v="South"/>
    <s v="Karnataka"/>
    <s v="Bengaluru"/>
    <s v="Furniture"/>
    <s v="Bookcase"/>
    <n v="3"/>
    <n v="16626.66"/>
    <n v="0"/>
    <n v="49879.98"/>
    <n v="35564.43"/>
    <n v="14315.55"/>
  </r>
  <r>
    <s v="ORD10380"/>
    <d v="2024-01-10T00:00:00"/>
    <s v="Central"/>
    <s v="Madhya Pradesh"/>
    <s v="Indore"/>
    <s v="Furniture"/>
    <s v="Bookcase"/>
    <n v="1"/>
    <n v="4390.83"/>
    <n v="0"/>
    <n v="4390.83"/>
    <n v="3758.55"/>
    <n v="632.28"/>
  </r>
  <r>
    <s v="ORD10381"/>
    <d v="2024-08-31T00:00:00"/>
    <s v="South"/>
    <s v="Andhra Pradesh"/>
    <s v="Vijayawada"/>
    <s v="Technology"/>
    <s v="Printer"/>
    <n v="1"/>
    <n v="10163.049999999999"/>
    <n v="0"/>
    <n v="10163.049999999999"/>
    <n v="7388.54"/>
    <n v="2774.51"/>
  </r>
  <r>
    <s v="ORD10382"/>
    <d v="2025-06-16T00:00:00"/>
    <s v="South"/>
    <s v="Kerala"/>
    <s v="Thiruvananthapuram"/>
    <s v="Furniture"/>
    <s v="Desk"/>
    <n v="1"/>
    <n v="15357.72"/>
    <n v="0"/>
    <n v="15357.72"/>
    <n v="11963.66"/>
    <n v="3394.06"/>
  </r>
  <r>
    <s v="ORD10383"/>
    <d v="2025-02-07T00:00:00"/>
    <s v="East"/>
    <s v="Bengal"/>
    <s v="Siliguri"/>
    <s v="Furniture"/>
    <s v="Chair"/>
    <n v="2"/>
    <n v="7445.75"/>
    <n v="0"/>
    <n v="14891.5"/>
    <n v="10230.459999999999"/>
    <n v="4661.04"/>
  </r>
  <r>
    <s v="ORD10384"/>
    <d v="2024-11-18T00:00:00"/>
    <s v="South"/>
    <s v="Kerala"/>
    <s v="Thiruvananthapuram"/>
    <s v="Office Supplies"/>
    <s v="Pens"/>
    <n v="1"/>
    <n v="505.54"/>
    <n v="0"/>
    <n v="505.54"/>
    <n v="355.9"/>
    <n v="149.63999999999999"/>
  </r>
  <r>
    <s v="ORD10385"/>
    <d v="2024-05-19T00:00:00"/>
    <s v="North"/>
    <s v="Delhi"/>
    <s v="New Delhi"/>
    <s v="Technology"/>
    <s v="Monitor"/>
    <n v="1"/>
    <n v="37616.639999999999"/>
    <n v="0"/>
    <n v="37616.639999999999"/>
    <n v="26181.18"/>
    <n v="11435.46"/>
  </r>
  <r>
    <s v="ORD10386"/>
    <d v="2024-05-03T00:00:00"/>
    <s v="North"/>
    <s v="Haryana"/>
    <s v="Gurugram"/>
    <s v="Office Supplies"/>
    <s v="Pens"/>
    <n v="1"/>
    <n v="953.53"/>
    <n v="0"/>
    <n v="953.53"/>
    <n v="792.38"/>
    <n v="161.15"/>
  </r>
  <r>
    <s v="ORD10387"/>
    <d v="2024-04-02T00:00:00"/>
    <s v="West"/>
    <s v="Gujarat"/>
    <s v="Surat"/>
    <s v="Furniture"/>
    <s v="Table"/>
    <n v="2"/>
    <n v="2927.59"/>
    <n v="0"/>
    <n v="5855.18"/>
    <n v="5298.94"/>
    <n v="556.24"/>
  </r>
  <r>
    <s v="ORD10388"/>
    <d v="2024-12-01T00:00:00"/>
    <s v="West"/>
    <s v="Maharashtra"/>
    <s v="Mumbai"/>
    <s v="Office Supplies"/>
    <s v="Envelopes"/>
    <n v="1"/>
    <n v="1051.25"/>
    <n v="0"/>
    <n v="1051.25"/>
    <n v="770.57"/>
    <n v="280.68"/>
  </r>
  <r>
    <s v="ORD10389"/>
    <d v="2024-09-23T00:00:00"/>
    <s v="West"/>
    <s v="Maharashtra"/>
    <s v="Pune"/>
    <s v="Office Supplies"/>
    <s v="Folders"/>
    <n v="2"/>
    <n v="1508.75"/>
    <n v="0"/>
    <n v="3017.5"/>
    <n v="2287.2600000000002"/>
    <n v="730.24"/>
  </r>
  <r>
    <s v="ORD10390"/>
    <d v="2025-04-18T00:00:00"/>
    <s v="East"/>
    <s v="Assam"/>
    <s v="Guwahati"/>
    <s v="Technology"/>
    <s v="Laptop"/>
    <n v="2"/>
    <n v="66938.67"/>
    <n v="0"/>
    <n v="133877.34"/>
    <n v="105361.47"/>
    <n v="28515.87"/>
  </r>
  <r>
    <s v="ORD10391"/>
    <d v="2024-05-13T00:00:00"/>
    <s v="West"/>
    <s v="Goa"/>
    <s v="Margao"/>
    <s v="Furniture"/>
    <s v="Desk"/>
    <n v="1"/>
    <n v="15393.45"/>
    <n v="0"/>
    <n v="15393.45"/>
    <n v="13022.86"/>
    <n v="2370.59"/>
  </r>
  <r>
    <s v="ORD10392"/>
    <d v="2024-03-17T00:00:00"/>
    <s v="East"/>
    <s v="Bengal"/>
    <s v="Kolkata"/>
    <s v="Furniture"/>
    <s v="Cabinet"/>
    <n v="1"/>
    <n v="20613.87"/>
    <n v="0.1"/>
    <n v="18552.48"/>
    <n v="12560.03"/>
    <n v="5992.45"/>
  </r>
  <r>
    <s v="ORD10393"/>
    <d v="2024-05-05T00:00:00"/>
    <s v="East"/>
    <s v="Jharkhand"/>
    <s v="Ranchi"/>
    <s v="Technology"/>
    <s v="Headset"/>
    <n v="1"/>
    <n v="36353.040000000001"/>
    <n v="0"/>
    <n v="36353.040000000001"/>
    <n v="30173.02"/>
    <n v="6180.02"/>
  </r>
  <r>
    <s v="ORD10394"/>
    <d v="2025-05-23T00:00:00"/>
    <s v="East"/>
    <s v="Jharkhand"/>
    <s v="Jamshedpur"/>
    <s v="Technology"/>
    <s v="Printer"/>
    <n v="1"/>
    <n v="19533.14"/>
    <n v="0.1"/>
    <n v="17579.830000000002"/>
    <n v="11708.17"/>
    <n v="5871.66"/>
  </r>
  <r>
    <s v="ORD10395"/>
    <d v="2025-04-01T00:00:00"/>
    <s v="West"/>
    <s v="Maharashtra"/>
    <s v="Mumbai"/>
    <s v="Furniture"/>
    <s v="Bookcase"/>
    <n v="1"/>
    <n v="13474.51"/>
    <n v="0"/>
    <n v="13474.51"/>
    <n v="10429.27"/>
    <n v="3045.24"/>
  </r>
  <r>
    <s v="ORD10396"/>
    <d v="2025-05-05T00:00:00"/>
    <s v="East"/>
    <s v="Bengal"/>
    <s v="Siliguri"/>
    <s v="Office Supplies"/>
    <s v="Stapler"/>
    <n v="1"/>
    <n v="867.51"/>
    <n v="0"/>
    <n v="867.51"/>
    <n v="665.38"/>
    <n v="202.13"/>
  </r>
  <r>
    <s v="ORD10397"/>
    <d v="2025-06-22T00:00:00"/>
    <s v="West"/>
    <s v="Gujarat"/>
    <s v="Ahmedabad"/>
    <s v="Office Supplies"/>
    <s v="Pens"/>
    <n v="1"/>
    <n v="985.38"/>
    <n v="0"/>
    <n v="985.38"/>
    <n v="677.94"/>
    <n v="307.44"/>
  </r>
  <r>
    <s v="ORD10398"/>
    <d v="2024-12-18T00:00:00"/>
    <s v="North"/>
    <s v="Haryana"/>
    <s v="Faridabad"/>
    <s v="Office Supplies"/>
    <s v="Stapler"/>
    <n v="4"/>
    <n v="100.82"/>
    <n v="0"/>
    <n v="403.28"/>
    <n v="314.56"/>
    <n v="88.72"/>
  </r>
  <r>
    <s v="ORD10399"/>
    <d v="2024-01-31T00:00:00"/>
    <s v="Central"/>
    <s v="Madhya Pradesh"/>
    <s v="Indore"/>
    <s v="Furniture"/>
    <s v="Bookcase"/>
    <n v="2"/>
    <n v="19637.37"/>
    <n v="0"/>
    <n v="39274.74"/>
    <n v="26431.9"/>
    <n v="12842.84"/>
  </r>
  <r>
    <s v="ORD10400"/>
    <d v="2024-06-12T00:00:00"/>
    <s v="East"/>
    <s v="Assam"/>
    <s v="Guwahati"/>
    <s v="Office Supplies"/>
    <s v="Folders"/>
    <n v="2"/>
    <n v="1641.76"/>
    <n v="0"/>
    <n v="3283.52"/>
    <n v="2968.3"/>
    <n v="315.22000000000003"/>
  </r>
  <r>
    <s v="ORD10401"/>
    <d v="2024-02-27T00:00:00"/>
    <s v="West"/>
    <s v="Gujarat"/>
    <s v="Surat"/>
    <s v="Office Supplies"/>
    <s v="Stapler"/>
    <n v="1"/>
    <n v="393.4"/>
    <n v="0"/>
    <n v="393.4"/>
    <n v="302.13"/>
    <n v="91.27"/>
  </r>
  <r>
    <s v="ORD10402"/>
    <d v="2025-01-02T00:00:00"/>
    <s v="North"/>
    <s v="Delhi"/>
    <s v="New Delhi"/>
    <s v="Furniture"/>
    <s v="Table"/>
    <n v="1"/>
    <n v="5268.35"/>
    <n v="0"/>
    <n v="5268.35"/>
    <n v="3840.63"/>
    <n v="1427.72"/>
  </r>
  <r>
    <s v="ORD10403"/>
    <d v="2025-05-19T00:00:00"/>
    <s v="North"/>
    <s v="Haryana"/>
    <s v="Gurugram"/>
    <s v="Office Supplies"/>
    <s v="Paper"/>
    <n v="4"/>
    <n v="226"/>
    <n v="0"/>
    <n v="904"/>
    <n v="607.49"/>
    <n v="296.51"/>
  </r>
  <r>
    <s v="ORD10404"/>
    <d v="2024-08-12T00:00:00"/>
    <s v="East"/>
    <s v="Jharkhand"/>
    <s v="Ranchi"/>
    <s v="Office Supplies"/>
    <s v="Folders"/>
    <n v="1"/>
    <n v="442.86"/>
    <n v="0.15"/>
    <n v="376.43"/>
    <n v="344.81"/>
    <n v="31.62"/>
  </r>
  <r>
    <s v="ORD10405"/>
    <d v="2024-06-30T00:00:00"/>
    <s v="Central"/>
    <s v="Madhya Pradesh"/>
    <s v="Bhopal"/>
    <s v="Technology"/>
    <s v="Headset"/>
    <n v="5"/>
    <n v="57261.62"/>
    <n v="0.05"/>
    <n v="271992.7"/>
    <n v="189850.9"/>
    <n v="82141.8"/>
  </r>
  <r>
    <s v="ORD10406"/>
    <d v="2025-06-22T00:00:00"/>
    <s v="Central"/>
    <s v="Madhya Pradesh"/>
    <s v="Indore"/>
    <s v="Furniture"/>
    <s v="Cabinet"/>
    <n v="1"/>
    <n v="15478.38"/>
    <n v="0"/>
    <n v="15478.38"/>
    <n v="10432.43"/>
    <n v="5045.95"/>
  </r>
  <r>
    <s v="ORD10407"/>
    <d v="2024-11-26T00:00:00"/>
    <s v="West"/>
    <s v="Maharashtra"/>
    <s v="Pune"/>
    <s v="Furniture"/>
    <s v="Cabinet"/>
    <n v="3"/>
    <n v="16931.150000000001"/>
    <n v="0.15"/>
    <n v="43174.43"/>
    <n v="34280.5"/>
    <n v="8893.93"/>
  </r>
  <r>
    <s v="ORD10408"/>
    <d v="2024-12-31T00:00:00"/>
    <s v="West"/>
    <s v="Gujarat"/>
    <s v="Ahmedabad"/>
    <s v="Office Supplies"/>
    <s v="Pens"/>
    <n v="1"/>
    <n v="1481.29"/>
    <n v="0"/>
    <n v="1481.29"/>
    <n v="1229.47"/>
    <n v="251.82"/>
  </r>
  <r>
    <s v="ORD10409"/>
    <d v="2024-06-30T00:00:00"/>
    <s v="East"/>
    <s v="Jharkhand"/>
    <s v="Ranchi"/>
    <s v="Technology"/>
    <s v="Headset"/>
    <n v="1"/>
    <n v="27502.7"/>
    <n v="0"/>
    <n v="27502.7"/>
    <n v="23349.79"/>
    <n v="4152.91"/>
  </r>
  <r>
    <s v="ORD10410"/>
    <d v="2024-08-14T00:00:00"/>
    <s v="North"/>
    <s v="Delhi"/>
    <s v="New Delhi"/>
    <s v="Technology"/>
    <s v="Printer"/>
    <n v="2"/>
    <n v="60391.44"/>
    <n v="0"/>
    <n v="120782.88"/>
    <n v="114622.95"/>
    <n v="6159.93"/>
  </r>
  <r>
    <s v="ORD10411"/>
    <d v="2024-11-23T00:00:00"/>
    <s v="West"/>
    <s v="Gujarat"/>
    <s v="Ahmedabad"/>
    <s v="Furniture"/>
    <s v="Bookcase"/>
    <n v="1"/>
    <n v="12272.49"/>
    <n v="0"/>
    <n v="12272.49"/>
    <n v="10198.44"/>
    <n v="2074.0500000000002"/>
  </r>
  <r>
    <s v="ORD10412"/>
    <d v="2024-09-12T00:00:00"/>
    <s v="East"/>
    <s v="Odisha"/>
    <s v="Cuttack"/>
    <s v="Technology"/>
    <s v="Laptop"/>
    <n v="1"/>
    <n v="6707.35"/>
    <n v="0"/>
    <n v="6707.35"/>
    <n v="4520.75"/>
    <n v="2186.6"/>
  </r>
  <r>
    <s v="ORD10413"/>
    <d v="2025-03-05T00:00:00"/>
    <s v="West"/>
    <s v="Goa"/>
    <s v="Margao"/>
    <s v="Office Supplies"/>
    <s v="Pens"/>
    <n v="1"/>
    <n v="1114.75"/>
    <n v="0.1"/>
    <n v="1003.27"/>
    <n v="848.77"/>
    <n v="154.5"/>
  </r>
  <r>
    <s v="ORD10414"/>
    <d v="2025-08-14T00:00:00"/>
    <s v="West"/>
    <s v="Maharashtra"/>
    <s v="Pune"/>
    <s v="Technology"/>
    <s v="Laptop"/>
    <n v="2"/>
    <n v="25707.96"/>
    <n v="0"/>
    <n v="51415.92"/>
    <n v="41852.559999999998"/>
    <n v="9563.36"/>
  </r>
  <r>
    <s v="ORD10415"/>
    <d v="2024-04-17T00:00:00"/>
    <s v="East"/>
    <s v="Odisha"/>
    <s v="Bhubaneswar"/>
    <s v="Office Supplies"/>
    <s v="Stapler"/>
    <n v="1"/>
    <n v="1477.37"/>
    <n v="0"/>
    <n v="1477.37"/>
    <n v="1202.58"/>
    <n v="274.79000000000002"/>
  </r>
  <r>
    <s v="ORD10416"/>
    <d v="2024-04-05T00:00:00"/>
    <s v="Central"/>
    <s v="Chhattisgarh"/>
    <s v="Raipur"/>
    <s v="Office Supplies"/>
    <s v="Stapler"/>
    <n v="1"/>
    <n v="1234.27"/>
    <n v="0"/>
    <n v="1234.27"/>
    <n v="1107.1400000000001"/>
    <n v="127.13"/>
  </r>
  <r>
    <s v="ORD10417"/>
    <d v="2024-02-24T00:00:00"/>
    <s v="East"/>
    <s v="Odisha"/>
    <s v="Bhubaneswar"/>
    <s v="Technology"/>
    <s v="Router"/>
    <n v="1"/>
    <n v="56684.15"/>
    <n v="0"/>
    <n v="56684.15"/>
    <n v="46707.74"/>
    <n v="9976.41"/>
  </r>
  <r>
    <s v="ORD10418"/>
    <d v="2025-07-07T00:00:00"/>
    <s v="Central"/>
    <s v="Chhattisgarh"/>
    <s v="Bilaspur"/>
    <s v="Technology"/>
    <s v="Laptop"/>
    <n v="3"/>
    <n v="6821.93"/>
    <n v="0"/>
    <n v="20465.79"/>
    <n v="17211.73"/>
    <n v="3254.06"/>
  </r>
  <r>
    <s v="ORD10419"/>
    <d v="2025-05-17T00:00:00"/>
    <s v="West"/>
    <s v="Maharashtra"/>
    <s v="Pune"/>
    <s v="Technology"/>
    <s v="Router"/>
    <n v="1"/>
    <n v="9747.3799999999992"/>
    <n v="0"/>
    <n v="9747.3799999999992"/>
    <n v="7408.01"/>
    <n v="2339.37"/>
  </r>
  <r>
    <s v="ORD10420"/>
    <d v="2025-05-06T00:00:00"/>
    <s v="West"/>
    <s v="Maharashtra"/>
    <s v="Mumbai"/>
    <s v="Technology"/>
    <s v="Monitor"/>
    <n v="1"/>
    <n v="52140.68"/>
    <n v="0"/>
    <n v="52140.68"/>
    <n v="39157.65"/>
    <n v="12983.03"/>
  </r>
  <r>
    <s v="ORD10421"/>
    <d v="2025-04-29T00:00:00"/>
    <s v="East"/>
    <s v="Odisha"/>
    <s v="Cuttack"/>
    <s v="Office Supplies"/>
    <s v="Envelopes"/>
    <n v="1"/>
    <n v="1795.01"/>
    <n v="0"/>
    <n v="1795.01"/>
    <n v="1188.3"/>
    <n v="606.71"/>
  </r>
  <r>
    <s v="ORD10422"/>
    <d v="2025-07-11T00:00:00"/>
    <s v="South"/>
    <s v="Tamil Nadu"/>
    <s v="Coimbatore"/>
    <s v="Office Supplies"/>
    <s v="Pens"/>
    <n v="1"/>
    <n v="413.84"/>
    <n v="0.1"/>
    <n v="372.46"/>
    <n v="307.64999999999998"/>
    <n v="64.81"/>
  </r>
  <r>
    <s v="ORD10423"/>
    <d v="2025-04-21T00:00:00"/>
    <s v="Central"/>
    <s v="Madhya Pradesh"/>
    <s v="Indore"/>
    <s v="Furniture"/>
    <s v="Desk"/>
    <n v="1"/>
    <n v="5476.01"/>
    <n v="0"/>
    <n v="5476.01"/>
    <n v="3564.88"/>
    <n v="1911.13"/>
  </r>
  <r>
    <s v="ORD10424"/>
    <d v="2024-04-09T00:00:00"/>
    <s v="East"/>
    <s v="Odisha"/>
    <s v="Cuttack"/>
    <s v="Furniture"/>
    <s v="Chair"/>
    <n v="1"/>
    <n v="14732.84"/>
    <n v="0"/>
    <n v="14732.84"/>
    <n v="11359.02"/>
    <n v="3373.82"/>
  </r>
  <r>
    <s v="ORD10425"/>
    <d v="2025-06-19T00:00:00"/>
    <s v="South"/>
    <s v="Andhra Pradesh"/>
    <s v="Vijayawada"/>
    <s v="Office Supplies"/>
    <s v="Pens"/>
    <n v="1"/>
    <n v="203.96"/>
    <n v="0"/>
    <n v="203.96"/>
    <n v="147.87"/>
    <n v="56.09"/>
  </r>
  <r>
    <s v="ORD10426"/>
    <d v="2024-02-05T00:00:00"/>
    <s v="North"/>
    <s v="Punjab"/>
    <s v="Amritsar"/>
    <s v="Office Supplies"/>
    <s v="Stapler"/>
    <n v="1"/>
    <n v="1900.67"/>
    <n v="0.05"/>
    <n v="1805.64"/>
    <n v="1229.6400000000001"/>
    <n v="576"/>
  </r>
  <r>
    <s v="ORD10427"/>
    <d v="2024-07-16T00:00:00"/>
    <s v="West"/>
    <s v="Maharashtra"/>
    <s v="Pune"/>
    <s v="Technology"/>
    <s v="Router"/>
    <n v="1"/>
    <n v="18547.78"/>
    <n v="0"/>
    <n v="18547.78"/>
    <n v="16563.169999999998"/>
    <n v="1984.61"/>
  </r>
  <r>
    <s v="ORD10428"/>
    <d v="2024-05-31T00:00:00"/>
    <s v="North"/>
    <s v="Haryana"/>
    <s v="Faridabad"/>
    <s v="Furniture"/>
    <s v="Desk"/>
    <n v="1"/>
    <n v="4001.63"/>
    <n v="0"/>
    <n v="4001.63"/>
    <n v="3233.32"/>
    <n v="768.31"/>
  </r>
  <r>
    <s v="ORD10429"/>
    <d v="2025-07-19T00:00:00"/>
    <s v="Central"/>
    <s v="Chhattisgarh"/>
    <s v="Bilaspur"/>
    <s v="Technology"/>
    <s v="Headset"/>
    <n v="1"/>
    <n v="48243.360000000001"/>
    <n v="0"/>
    <n v="48243.360000000001"/>
    <n v="44866.32"/>
    <n v="3377.04"/>
  </r>
  <r>
    <s v="ORD10430"/>
    <d v="2024-04-25T00:00:00"/>
    <s v="South"/>
    <s v="Tamil Nadu"/>
    <s v="Chennai"/>
    <s v="Furniture"/>
    <s v="Table"/>
    <n v="2"/>
    <n v="15401.57"/>
    <n v="0"/>
    <n v="30803.14"/>
    <n v="25073.759999999998"/>
    <n v="5729.38"/>
  </r>
  <r>
    <s v="ORD10431"/>
    <d v="2024-04-12T00:00:00"/>
    <s v="East"/>
    <s v="Bengal"/>
    <s v="Siliguri"/>
    <s v="Furniture"/>
    <s v="Bookcase"/>
    <n v="1"/>
    <n v="22191.55"/>
    <n v="0"/>
    <n v="22191.55"/>
    <n v="18152.689999999999"/>
    <n v="4038.86"/>
  </r>
  <r>
    <s v="ORD10432"/>
    <d v="2025-05-12T00:00:00"/>
    <s v="North"/>
    <s v="Uttar Pradesh"/>
    <s v="Lucknow"/>
    <s v="Technology"/>
    <s v="Printer"/>
    <n v="1"/>
    <n v="34028.99"/>
    <n v="0"/>
    <n v="34028.99"/>
    <n v="26610.67"/>
    <n v="7418.32"/>
  </r>
  <r>
    <s v="ORD10433"/>
    <d v="2025-02-15T00:00:00"/>
    <s v="East"/>
    <s v="Jharkhand"/>
    <s v="Jamshedpur"/>
    <s v="Furniture"/>
    <s v="Chair"/>
    <n v="1"/>
    <n v="3133.69"/>
    <n v="0"/>
    <n v="3133.69"/>
    <n v="2804.65"/>
    <n v="329.04"/>
  </r>
  <r>
    <s v="ORD10434"/>
    <d v="2024-10-02T00:00:00"/>
    <s v="Central"/>
    <s v="Madhya Pradesh"/>
    <s v="Indore"/>
    <s v="Office Supplies"/>
    <s v="Pens"/>
    <n v="3"/>
    <n v="596.67999999999995"/>
    <n v="0"/>
    <n v="1790.04"/>
    <n v="1192.17"/>
    <n v="597.87"/>
  </r>
  <r>
    <s v="ORD10435"/>
    <d v="2024-04-10T00:00:00"/>
    <s v="West"/>
    <s v="Maharashtra"/>
    <s v="Pune"/>
    <s v="Furniture"/>
    <s v="Cabinet"/>
    <n v="1"/>
    <n v="19802.71"/>
    <n v="0"/>
    <n v="19802.71"/>
    <n v="17208.55"/>
    <n v="2594.16"/>
  </r>
  <r>
    <s v="ORD10436"/>
    <d v="2025-03-02T00:00:00"/>
    <s v="North"/>
    <s v="Delhi"/>
    <s v="New Delhi"/>
    <s v="Office Supplies"/>
    <s v="Stapler"/>
    <n v="1"/>
    <n v="1831.19"/>
    <n v="0"/>
    <n v="1831.19"/>
    <n v="1514.39"/>
    <n v="316.8"/>
  </r>
  <r>
    <s v="ORD10437"/>
    <d v="2025-05-11T00:00:00"/>
    <s v="North"/>
    <s v="Haryana"/>
    <s v="Gurugram"/>
    <s v="Furniture"/>
    <s v="Chair"/>
    <n v="1"/>
    <n v="3509.19"/>
    <n v="0"/>
    <n v="3509.19"/>
    <n v="3168.8"/>
    <n v="340.39"/>
  </r>
  <r>
    <s v="ORD10438"/>
    <d v="2025-02-17T00:00:00"/>
    <s v="West"/>
    <s v="Gujarat"/>
    <s v="Ahmedabad"/>
    <s v="Technology"/>
    <s v="Monitor"/>
    <n v="2"/>
    <n v="70388.899999999994"/>
    <n v="0"/>
    <n v="140777.79999999999"/>
    <n v="105864.91"/>
    <n v="34912.89"/>
  </r>
  <r>
    <s v="ORD10439"/>
    <d v="2024-02-29T00:00:00"/>
    <s v="West"/>
    <s v="Maharashtra"/>
    <s v="Pune"/>
    <s v="Technology"/>
    <s v="Printer"/>
    <n v="1"/>
    <n v="57256.81"/>
    <n v="0"/>
    <n v="57256.81"/>
    <n v="50557.760000000002"/>
    <n v="6699.05"/>
  </r>
  <r>
    <s v="ORD10440"/>
    <d v="2025-04-20T00:00:00"/>
    <s v="North"/>
    <s v="Uttar Pradesh"/>
    <s v="Lucknow"/>
    <s v="Furniture"/>
    <s v="Desk"/>
    <n v="1"/>
    <n v="7564.58"/>
    <n v="0"/>
    <n v="7564.58"/>
    <n v="5658.31"/>
    <n v="1906.27"/>
  </r>
  <r>
    <s v="ORD10441"/>
    <d v="2025-04-01T00:00:00"/>
    <s v="West"/>
    <s v="Goa"/>
    <s v="Margao"/>
    <s v="Office Supplies"/>
    <s v="Stapler"/>
    <n v="1"/>
    <n v="1683.42"/>
    <n v="0"/>
    <n v="1683.42"/>
    <n v="1547.06"/>
    <n v="136.36000000000001"/>
  </r>
  <r>
    <s v="ORD10442"/>
    <d v="2024-04-02T00:00:00"/>
    <s v="Central"/>
    <s v="Madhya Pradesh"/>
    <s v="Indore"/>
    <s v="Technology"/>
    <s v="Monitor"/>
    <n v="2"/>
    <n v="68744.240000000005"/>
    <n v="0"/>
    <n v="137488.48000000001"/>
    <n v="123189.68"/>
    <n v="14298.8"/>
  </r>
  <r>
    <s v="ORD10443"/>
    <d v="2024-08-07T00:00:00"/>
    <s v="West"/>
    <s v="Gujarat"/>
    <s v="Ahmedabad"/>
    <s v="Furniture"/>
    <s v="Chair"/>
    <n v="2"/>
    <n v="8188.92"/>
    <n v="0"/>
    <n v="16377.84"/>
    <n v="14396.12"/>
    <n v="1981.72"/>
  </r>
  <r>
    <s v="ORD10444"/>
    <d v="2024-01-21T00:00:00"/>
    <s v="East"/>
    <s v="Jharkhand"/>
    <s v="Ranchi"/>
    <s v="Furniture"/>
    <s v="Chair"/>
    <n v="1"/>
    <n v="15826.26"/>
    <n v="0.1"/>
    <n v="14243.63"/>
    <n v="12491.66"/>
    <n v="1751.97"/>
  </r>
  <r>
    <s v="ORD10445"/>
    <d v="2024-11-08T00:00:00"/>
    <s v="Central"/>
    <s v="Chhattisgarh"/>
    <s v="Bilaspur"/>
    <s v="Office Supplies"/>
    <s v="Envelopes"/>
    <n v="2"/>
    <n v="541.4"/>
    <n v="0"/>
    <n v="1082.8"/>
    <n v="750.38"/>
    <n v="332.42"/>
  </r>
  <r>
    <s v="ORD10446"/>
    <d v="2025-06-17T00:00:00"/>
    <s v="North"/>
    <s v="Uttar Pradesh"/>
    <s v="Lucknow"/>
    <s v="Technology"/>
    <s v="Headset"/>
    <n v="2"/>
    <n v="79956.06"/>
    <n v="0"/>
    <n v="159912.12"/>
    <n v="132886.97"/>
    <n v="27025.15"/>
  </r>
  <r>
    <s v="ORD10447"/>
    <d v="2025-01-18T00:00:00"/>
    <s v="North"/>
    <s v="Haryana"/>
    <s v="Faridabad"/>
    <s v="Furniture"/>
    <s v="Desk"/>
    <n v="2"/>
    <n v="13079.98"/>
    <n v="0"/>
    <n v="26159.96"/>
    <n v="23256.2"/>
    <n v="2903.76"/>
  </r>
  <r>
    <s v="ORD10448"/>
    <d v="2024-10-10T00:00:00"/>
    <s v="Central"/>
    <s v="Chhattisgarh"/>
    <s v="Bilaspur"/>
    <s v="Furniture"/>
    <s v="Bookcase"/>
    <n v="1"/>
    <n v="6332.28"/>
    <n v="0"/>
    <n v="6332.28"/>
    <n v="4312.28"/>
    <n v="2020"/>
  </r>
  <r>
    <s v="ORD10449"/>
    <d v="2024-09-03T00:00:00"/>
    <s v="East"/>
    <s v="Jharkhand"/>
    <s v="Jamshedpur"/>
    <s v="Furniture"/>
    <s v="Chair"/>
    <n v="1"/>
    <n v="18589.509999999998"/>
    <n v="0"/>
    <n v="18589.509999999998"/>
    <n v="17176.71"/>
    <n v="1412.8"/>
  </r>
  <r>
    <s v="ORD10450"/>
    <d v="2024-10-29T00:00:00"/>
    <s v="Central"/>
    <s v="Chhattisgarh"/>
    <s v="Bilaspur"/>
    <s v="Office Supplies"/>
    <s v="Paper"/>
    <n v="1"/>
    <n v="1186.9000000000001"/>
    <n v="0"/>
    <n v="1186.9000000000001"/>
    <n v="1118.06"/>
    <n v="68.84"/>
  </r>
  <r>
    <s v="ORD10451"/>
    <d v="2024-07-13T00:00:00"/>
    <s v="Central"/>
    <s v="Madhya Pradesh"/>
    <s v="Indore"/>
    <s v="Furniture"/>
    <s v="Bookcase"/>
    <n v="1"/>
    <n v="13668.24"/>
    <n v="0"/>
    <n v="13668.24"/>
    <n v="10592.89"/>
    <n v="3075.35"/>
  </r>
  <r>
    <s v="ORD10452"/>
    <d v="2025-07-25T00:00:00"/>
    <s v="West"/>
    <s v="Goa"/>
    <s v="Panaji"/>
    <s v="Office Supplies"/>
    <s v="Stapler"/>
    <n v="1"/>
    <n v="1494.79"/>
    <n v="0"/>
    <n v="1494.79"/>
    <n v="1019.45"/>
    <n v="475.34"/>
  </r>
  <r>
    <s v="ORD10453"/>
    <d v="2025-07-26T00:00:00"/>
    <s v="West"/>
    <s v="Gujarat"/>
    <s v="Surat"/>
    <s v="Furniture"/>
    <s v="Desk"/>
    <n v="2"/>
    <n v="7111.83"/>
    <n v="0"/>
    <n v="14223.66"/>
    <n v="12047.44"/>
    <n v="2176.2199999999998"/>
  </r>
  <r>
    <s v="ORD10454"/>
    <d v="2024-11-10T00:00:00"/>
    <s v="South"/>
    <s v="Kerala"/>
    <s v="Thiruvananthapuram"/>
    <s v="Office Supplies"/>
    <s v="Folders"/>
    <n v="1"/>
    <n v="623.4"/>
    <n v="0"/>
    <n v="623.4"/>
    <n v="521.16"/>
    <n v="102.24"/>
  </r>
  <r>
    <s v="ORD10455"/>
    <d v="2025-04-26T00:00:00"/>
    <s v="East"/>
    <s v="Bengal"/>
    <s v="Siliguri"/>
    <s v="Technology"/>
    <s v="Headset"/>
    <n v="1"/>
    <n v="12225.83"/>
    <n v="0"/>
    <n v="12225.83"/>
    <n v="10636.47"/>
    <n v="1589.36"/>
  </r>
  <r>
    <s v="ORD10456"/>
    <d v="2025-06-26T00:00:00"/>
    <s v="Central"/>
    <s v="Chhattisgarh"/>
    <s v="Raipur"/>
    <s v="Technology"/>
    <s v="Monitor"/>
    <n v="1"/>
    <n v="79410.78"/>
    <n v="0"/>
    <n v="79410.78"/>
    <n v="65672.72"/>
    <n v="13738.06"/>
  </r>
  <r>
    <s v="ORD10457"/>
    <d v="2025-08-06T00:00:00"/>
    <s v="South"/>
    <s v="Tamil Nadu"/>
    <s v="Coimbatore"/>
    <s v="Furniture"/>
    <s v="Chair"/>
    <n v="1"/>
    <n v="19915.650000000001"/>
    <n v="0"/>
    <n v="19915.650000000001"/>
    <n v="16310.92"/>
    <n v="3604.73"/>
  </r>
  <r>
    <s v="ORD10458"/>
    <d v="2024-06-30T00:00:00"/>
    <s v="Central"/>
    <s v="Madhya Pradesh"/>
    <s v="Bhopal"/>
    <s v="Office Supplies"/>
    <s v="Pens"/>
    <n v="1"/>
    <n v="458.3"/>
    <n v="0"/>
    <n v="458.3"/>
    <n v="304.77"/>
    <n v="153.53"/>
  </r>
  <r>
    <s v="ORD10459"/>
    <d v="2025-08-13T00:00:00"/>
    <s v="West"/>
    <s v="Goa"/>
    <s v="Panaji"/>
    <s v="Technology"/>
    <s v="Headset"/>
    <n v="2"/>
    <n v="36395.78"/>
    <n v="0"/>
    <n v="72791.56"/>
    <n v="66094.740000000005"/>
    <n v="6696.82"/>
  </r>
  <r>
    <s v="ORD10460"/>
    <d v="2025-03-15T00:00:00"/>
    <s v="South"/>
    <s v="Andhra Pradesh"/>
    <s v="Vijayawada"/>
    <s v="Technology"/>
    <s v="Headset"/>
    <n v="3"/>
    <n v="18354.900000000001"/>
    <n v="0"/>
    <n v="55064.7"/>
    <n v="44272.02"/>
    <n v="10792.68"/>
  </r>
  <r>
    <s v="ORD10461"/>
    <d v="2024-01-15T00:00:00"/>
    <s v="Central"/>
    <s v="Madhya Pradesh"/>
    <s v="Bhopal"/>
    <s v="Furniture"/>
    <s v="Desk"/>
    <n v="3"/>
    <n v="16413.8"/>
    <n v="0"/>
    <n v="49241.4"/>
    <n v="34961.39"/>
    <n v="14280.01"/>
  </r>
  <r>
    <s v="ORD10462"/>
    <d v="2024-12-18T00:00:00"/>
    <s v="Central"/>
    <s v="Madhya Pradesh"/>
    <s v="Bhopal"/>
    <s v="Office Supplies"/>
    <s v="Folders"/>
    <n v="1"/>
    <n v="1197.9100000000001"/>
    <n v="0.05"/>
    <n v="1138.01"/>
    <n v="1073.1400000000001"/>
    <n v="64.87"/>
  </r>
  <r>
    <s v="ORD10463"/>
    <d v="2024-11-01T00:00:00"/>
    <s v="Central"/>
    <s v="Chhattisgarh"/>
    <s v="Bilaspur"/>
    <s v="Office Supplies"/>
    <s v="Stapler"/>
    <n v="1"/>
    <n v="718.33"/>
    <n v="0"/>
    <n v="718.33"/>
    <n v="566.04"/>
    <n v="152.29"/>
  </r>
  <r>
    <s v="ORD10464"/>
    <d v="2025-01-02T00:00:00"/>
    <s v="West"/>
    <s v="Maharashtra"/>
    <s v="Pune"/>
    <s v="Technology"/>
    <s v="Monitor"/>
    <n v="1"/>
    <n v="20272.740000000002"/>
    <n v="0"/>
    <n v="20272.740000000002"/>
    <n v="17698.099999999999"/>
    <n v="2574.64"/>
  </r>
  <r>
    <s v="ORD10465"/>
    <d v="2024-08-04T00:00:00"/>
    <s v="East"/>
    <s v="Assam"/>
    <s v="Guwahati"/>
    <s v="Office Supplies"/>
    <s v="Paper"/>
    <n v="1"/>
    <n v="781.63"/>
    <n v="0"/>
    <n v="781.63"/>
    <n v="547.14"/>
    <n v="234.49"/>
  </r>
  <r>
    <s v="ORD10466"/>
    <d v="2025-07-01T00:00:00"/>
    <s v="North"/>
    <s v="Delhi"/>
    <s v="New Delhi"/>
    <s v="Furniture"/>
    <s v="Desk"/>
    <n v="5"/>
    <n v="17032.060000000001"/>
    <n v="0.15"/>
    <n v="72386.259999999995"/>
    <n v="57329.919999999998"/>
    <n v="15056.34"/>
  </r>
  <r>
    <s v="ORD10467"/>
    <d v="2024-04-28T00:00:00"/>
    <s v="South"/>
    <s v="Andhra Pradesh"/>
    <s v="Visakhapatnam"/>
    <s v="Technology"/>
    <s v="Headset"/>
    <n v="1"/>
    <n v="22460.85"/>
    <n v="0"/>
    <n v="22460.85"/>
    <n v="19496.02"/>
    <n v="2964.83"/>
  </r>
  <r>
    <s v="ORD10468"/>
    <d v="2024-07-29T00:00:00"/>
    <s v="East"/>
    <s v="Odisha"/>
    <s v="Cuttack"/>
    <s v="Furniture"/>
    <s v="Desk"/>
    <n v="1"/>
    <n v="17237.11"/>
    <n v="0"/>
    <n v="17237.11"/>
    <n v="11652.29"/>
    <n v="5584.82"/>
  </r>
  <r>
    <s v="ORD10469"/>
    <d v="2024-05-20T00:00:00"/>
    <s v="South"/>
    <s v="Karnataka"/>
    <s v="Bengaluru"/>
    <s v="Office Supplies"/>
    <s v="Paper"/>
    <n v="1"/>
    <n v="1580.28"/>
    <n v="0"/>
    <n v="1580.28"/>
    <n v="1227.8800000000001"/>
    <n v="352.4"/>
  </r>
  <r>
    <s v="ORD10470"/>
    <d v="2024-07-23T00:00:00"/>
    <s v="Central"/>
    <s v="Madhya Pradesh"/>
    <s v="Indore"/>
    <s v="Furniture"/>
    <s v="Cabinet"/>
    <n v="1"/>
    <n v="8793.08"/>
    <n v="0.1"/>
    <n v="7913.77"/>
    <n v="6204.4"/>
    <n v="1709.37"/>
  </r>
  <r>
    <s v="ORD10471"/>
    <d v="2024-07-31T00:00:00"/>
    <s v="South"/>
    <s v="Kerala"/>
    <s v="Kochi"/>
    <s v="Technology"/>
    <s v="Laptop"/>
    <n v="2"/>
    <n v="54715.75"/>
    <n v="0"/>
    <n v="109431.5"/>
    <n v="76711.48"/>
    <n v="32720.02"/>
  </r>
  <r>
    <s v="ORD10472"/>
    <d v="2025-08-10T00:00:00"/>
    <s v="South"/>
    <s v="Tamil Nadu"/>
    <s v="Chennai"/>
    <s v="Furniture"/>
    <s v="Desk"/>
    <n v="1"/>
    <n v="18641.96"/>
    <n v="0.1"/>
    <n v="16777.759999999998"/>
    <n v="15888.54"/>
    <n v="889.22"/>
  </r>
  <r>
    <s v="ORD10473"/>
    <d v="2024-08-24T00:00:00"/>
    <s v="South"/>
    <s v="Kerala"/>
    <s v="Thiruvananthapuram"/>
    <s v="Office Supplies"/>
    <s v="Paper"/>
    <n v="1"/>
    <n v="244.63"/>
    <n v="0.05"/>
    <n v="232.4"/>
    <n v="158.03"/>
    <n v="74.37"/>
  </r>
  <r>
    <s v="ORD10474"/>
    <d v="2024-10-24T00:00:00"/>
    <s v="Central"/>
    <s v="Chhattisgarh"/>
    <s v="Bilaspur"/>
    <s v="Furniture"/>
    <s v="Desk"/>
    <n v="3"/>
    <n v="4184.96"/>
    <n v="0"/>
    <n v="12554.88"/>
    <n v="9679.81"/>
    <n v="2875.07"/>
  </r>
  <r>
    <s v="ORD10475"/>
    <d v="2024-02-16T00:00:00"/>
    <s v="East"/>
    <s v="Assam"/>
    <s v="Guwahati"/>
    <s v="Office Supplies"/>
    <s v="Pens"/>
    <n v="1"/>
    <n v="1794.33"/>
    <n v="0"/>
    <n v="1794.33"/>
    <n v="1345.75"/>
    <n v="448.58"/>
  </r>
  <r>
    <s v="ORD10476"/>
    <d v="2024-10-01T00:00:00"/>
    <s v="East"/>
    <s v="Odisha"/>
    <s v="Cuttack"/>
    <s v="Technology"/>
    <s v="Laptop"/>
    <n v="1"/>
    <n v="33859.870000000003"/>
    <n v="0"/>
    <n v="33859.870000000003"/>
    <n v="22889.27"/>
    <n v="10970.6"/>
  </r>
  <r>
    <s v="ORD10477"/>
    <d v="2024-10-05T00:00:00"/>
    <s v="South"/>
    <s v="Andhra Pradesh"/>
    <s v="Visakhapatnam"/>
    <s v="Furniture"/>
    <s v="Chair"/>
    <n v="1"/>
    <n v="4600.3"/>
    <n v="0"/>
    <n v="4600.3"/>
    <n v="3841.25"/>
    <n v="759.05"/>
  </r>
  <r>
    <s v="ORD10478"/>
    <d v="2024-03-01T00:00:00"/>
    <s v="West"/>
    <s v="Maharashtra"/>
    <s v="Pune"/>
    <s v="Furniture"/>
    <s v="Cabinet"/>
    <n v="1"/>
    <n v="20452.09"/>
    <n v="0"/>
    <n v="20452.09"/>
    <n v="19143.16"/>
    <n v="1308.93"/>
  </r>
  <r>
    <s v="ORD10479"/>
    <d v="2024-07-04T00:00:00"/>
    <s v="North"/>
    <s v="Uttar Pradesh"/>
    <s v="Kanpur"/>
    <s v="Furniture"/>
    <s v="Desk"/>
    <n v="1"/>
    <n v="21839.24"/>
    <n v="0"/>
    <n v="21839.24"/>
    <n v="15920.81"/>
    <n v="5918.43"/>
  </r>
  <r>
    <s v="ORD10480"/>
    <d v="2024-05-13T00:00:00"/>
    <s v="South"/>
    <s v="Andhra Pradesh"/>
    <s v="Vijayawada"/>
    <s v="Office Supplies"/>
    <s v="Envelopes"/>
    <n v="1"/>
    <n v="139.65"/>
    <n v="0"/>
    <n v="139.65"/>
    <n v="107.39"/>
    <n v="32.26"/>
  </r>
  <r>
    <s v="ORD10481"/>
    <d v="2024-11-17T00:00:00"/>
    <s v="East"/>
    <s v="Assam"/>
    <s v="Dibrugarh"/>
    <s v="Furniture"/>
    <s v="Table"/>
    <n v="1"/>
    <n v="17829.560000000001"/>
    <n v="0"/>
    <n v="17829.560000000001"/>
    <n v="14852.02"/>
    <n v="2977.54"/>
  </r>
  <r>
    <s v="ORD10482"/>
    <d v="2025-03-19T00:00:00"/>
    <s v="West"/>
    <s v="Goa"/>
    <s v="Margao"/>
    <s v="Furniture"/>
    <s v="Cabinet"/>
    <n v="1"/>
    <n v="5419.05"/>
    <n v="0"/>
    <n v="5419.05"/>
    <n v="4568.26"/>
    <n v="850.79"/>
  </r>
  <r>
    <s v="ORD10483"/>
    <d v="2024-02-25T00:00:00"/>
    <s v="East"/>
    <s v="Assam"/>
    <s v="Dibrugarh"/>
    <s v="Office Supplies"/>
    <s v="Stapler"/>
    <n v="2"/>
    <n v="195.99"/>
    <n v="0"/>
    <n v="391.98"/>
    <n v="337.49"/>
    <n v="54.49"/>
  </r>
  <r>
    <s v="ORD10484"/>
    <d v="2024-09-03T00:00:00"/>
    <s v="Central"/>
    <s v="Chhattisgarh"/>
    <s v="Raipur"/>
    <s v="Furniture"/>
    <s v="Chair"/>
    <n v="1"/>
    <n v="14661.4"/>
    <n v="0"/>
    <n v="14661.4"/>
    <n v="11831.75"/>
    <n v="2829.65"/>
  </r>
  <r>
    <s v="ORD10485"/>
    <d v="2024-08-28T00:00:00"/>
    <s v="East"/>
    <s v="Jharkhand"/>
    <s v="Jamshedpur"/>
    <s v="Furniture"/>
    <s v="Cabinet"/>
    <n v="2"/>
    <n v="4024.46"/>
    <n v="0"/>
    <n v="8048.92"/>
    <n v="5384.73"/>
    <n v="2664.19"/>
  </r>
  <r>
    <s v="ORD10486"/>
    <d v="2024-11-19T00:00:00"/>
    <s v="East"/>
    <s v="Jharkhand"/>
    <s v="Ranchi"/>
    <s v="Technology"/>
    <s v="Router"/>
    <n v="2"/>
    <n v="34750.07"/>
    <n v="0"/>
    <n v="69500.14"/>
    <n v="61577.120000000003"/>
    <n v="7923.02"/>
  </r>
  <r>
    <s v="ORD10487"/>
    <d v="2024-01-01T00:00:00"/>
    <s v="East"/>
    <s v="Odisha"/>
    <s v="Bhubaneswar"/>
    <s v="Furniture"/>
    <s v="Cabinet"/>
    <n v="1"/>
    <n v="23858.17"/>
    <n v="0"/>
    <n v="23858.17"/>
    <n v="20780.47"/>
    <n v="3077.7"/>
  </r>
  <r>
    <s v="ORD10488"/>
    <d v="2024-02-25T00:00:00"/>
    <s v="West"/>
    <s v="Goa"/>
    <s v="Margao"/>
    <s v="Furniture"/>
    <s v="Table"/>
    <n v="1"/>
    <n v="15798.88"/>
    <n v="0"/>
    <n v="15798.88"/>
    <n v="14771.95"/>
    <n v="1026.93"/>
  </r>
  <r>
    <s v="ORD10489"/>
    <d v="2025-01-07T00:00:00"/>
    <s v="South"/>
    <s v="Karnataka"/>
    <s v="Bengaluru"/>
    <s v="Furniture"/>
    <s v="Chair"/>
    <n v="1"/>
    <n v="2050.5300000000002"/>
    <n v="0"/>
    <n v="2050.5300000000002"/>
    <n v="1580.96"/>
    <n v="469.57"/>
  </r>
  <r>
    <s v="ORD10490"/>
    <d v="2024-10-25T00:00:00"/>
    <s v="North"/>
    <s v="Haryana"/>
    <s v="Gurugram"/>
    <s v="Technology"/>
    <s v="Monitor"/>
    <n v="1"/>
    <n v="40916.5"/>
    <n v="0"/>
    <n v="40916.5"/>
    <n v="29418.959999999999"/>
    <n v="11497.54"/>
  </r>
  <r>
    <s v="ORD10491"/>
    <d v="2025-02-23T00:00:00"/>
    <s v="East"/>
    <s v="Odisha"/>
    <s v="Bhubaneswar"/>
    <s v="Technology"/>
    <s v="Laptop"/>
    <n v="1"/>
    <n v="74626.649999999994"/>
    <n v="0"/>
    <n v="74626.649999999994"/>
    <n v="69178.899999999994"/>
    <n v="5447.75"/>
  </r>
  <r>
    <s v="ORD10492"/>
    <d v="2025-04-13T00:00:00"/>
    <s v="West"/>
    <s v="Gujarat"/>
    <s v="Surat"/>
    <s v="Technology"/>
    <s v="Router"/>
    <n v="2"/>
    <n v="6580.53"/>
    <n v="0"/>
    <n v="13161.06"/>
    <n v="10542.01"/>
    <n v="2619.0500000000002"/>
  </r>
  <r>
    <s v="ORD10493"/>
    <d v="2025-08-25T00:00:00"/>
    <s v="East"/>
    <s v="Jharkhand"/>
    <s v="Jamshedpur"/>
    <s v="Furniture"/>
    <s v="Table"/>
    <n v="2"/>
    <n v="23992.38"/>
    <n v="0.1"/>
    <n v="43186.28"/>
    <n v="35412.75"/>
    <n v="7773.53"/>
  </r>
  <r>
    <s v="ORD10494"/>
    <d v="2024-01-05T00:00:00"/>
    <s v="North"/>
    <s v="Delhi"/>
    <s v="New Delhi"/>
    <s v="Furniture"/>
    <s v="Cabinet"/>
    <n v="1"/>
    <n v="23260.53"/>
    <n v="0"/>
    <n v="23260.53"/>
    <n v="16375.41"/>
    <n v="6885.12"/>
  </r>
  <r>
    <s v="ORD10495"/>
    <d v="2024-06-30T00:00:00"/>
    <s v="North"/>
    <s v="Punjab"/>
    <s v="Amritsar"/>
    <s v="Technology"/>
    <s v="Router"/>
    <n v="2"/>
    <n v="53629.18"/>
    <n v="0"/>
    <n v="107258.36"/>
    <n v="79585.7"/>
    <n v="27672.66"/>
  </r>
  <r>
    <s v="ORD10496"/>
    <d v="2024-11-25T00:00:00"/>
    <s v="North"/>
    <s v="Uttar Pradesh"/>
    <s v="Kanpur"/>
    <s v="Furniture"/>
    <s v="Chair"/>
    <n v="1"/>
    <n v="8292.7099999999991"/>
    <n v="0"/>
    <n v="8292.7099999999991"/>
    <n v="6410.26"/>
    <n v="1882.45"/>
  </r>
  <r>
    <s v="ORD10497"/>
    <d v="2024-10-28T00:00:00"/>
    <s v="South"/>
    <s v="Tamil Nadu"/>
    <s v="Chennai"/>
    <s v="Office Supplies"/>
    <s v="Folders"/>
    <n v="1"/>
    <n v="1415.03"/>
    <n v="0"/>
    <n v="1415.03"/>
    <n v="1306.07"/>
    <n v="108.96"/>
  </r>
  <r>
    <s v="ORD10498"/>
    <d v="2024-11-02T00:00:00"/>
    <s v="North"/>
    <s v="Haryana"/>
    <s v="Gurugram"/>
    <s v="Technology"/>
    <s v="Monitor"/>
    <n v="3"/>
    <n v="51060.9"/>
    <n v="0"/>
    <n v="153182.70000000001"/>
    <n v="139243.07"/>
    <n v="13939.63"/>
  </r>
  <r>
    <s v="ORD10499"/>
    <d v="2024-12-19T00:00:00"/>
    <s v="West"/>
    <s v="Gujarat"/>
    <s v="Ahmedabad"/>
    <s v="Furniture"/>
    <s v="Table"/>
    <n v="4"/>
    <n v="17969.18"/>
    <n v="0"/>
    <n v="71876.72"/>
    <n v="58651.4"/>
    <n v="13225.3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00"/>
    <d v="2024-04-24T00:00:00"/>
    <x v="0"/>
    <s v="Odisha"/>
    <s v="Bhubaneswar"/>
    <x v="0"/>
    <x v="0"/>
    <n v="1"/>
    <n v="59708.28"/>
    <n v="0"/>
    <n v="59708.28"/>
    <n v="39706.01"/>
    <n v="20002.27"/>
    <x v="0"/>
    <n v="4"/>
    <x v="0"/>
  </r>
  <r>
    <s v="ORD10001"/>
    <d v="2025-07-12T00:00:00"/>
    <x v="0"/>
    <s v="Jharkhand"/>
    <s v="Ranchi"/>
    <x v="0"/>
    <x v="1"/>
    <n v="2"/>
    <n v="19835.12"/>
    <n v="0"/>
    <n v="39670.239999999998"/>
    <n v="30546.080000000002"/>
    <n v="9124.16"/>
    <x v="1"/>
    <n v="7"/>
    <x v="1"/>
  </r>
  <r>
    <s v="ORD10002"/>
    <d v="2024-01-28T00:00:00"/>
    <x v="1"/>
    <s v="Punjab"/>
    <s v="Ludhiana"/>
    <x v="0"/>
    <x v="2"/>
    <n v="1"/>
    <n v="48373.46"/>
    <n v="0"/>
    <n v="48373.46"/>
    <n v="43681.23"/>
    <n v="4692.2299999999996"/>
    <x v="0"/>
    <n v="1"/>
    <x v="2"/>
  </r>
  <r>
    <s v="ORD10003"/>
    <d v="2024-01-07T00:00:00"/>
    <x v="2"/>
    <s v="Gujarat"/>
    <s v="Surat"/>
    <x v="1"/>
    <x v="3"/>
    <n v="1"/>
    <n v="353.19"/>
    <n v="0"/>
    <n v="353.19"/>
    <n v="243.7"/>
    <n v="109.49"/>
    <x v="0"/>
    <n v="1"/>
    <x v="2"/>
  </r>
  <r>
    <s v="ORD10004"/>
    <d v="2024-12-10T00:00:00"/>
    <x v="0"/>
    <s v="Bengal"/>
    <s v="Siliguri"/>
    <x v="0"/>
    <x v="4"/>
    <n v="1"/>
    <n v="68257.070000000007"/>
    <n v="0"/>
    <n v="68257.070000000007"/>
    <n v="50373.72"/>
    <n v="17883.349999999999"/>
    <x v="0"/>
    <n v="12"/>
    <x v="3"/>
  </r>
  <r>
    <s v="ORD10005"/>
    <d v="2024-02-14T00:00:00"/>
    <x v="3"/>
    <s v="Karnataka"/>
    <s v="Mysuru"/>
    <x v="0"/>
    <x v="5"/>
    <n v="1"/>
    <n v="25574.73"/>
    <n v="0"/>
    <n v="25574.73"/>
    <n v="16853.75"/>
    <n v="8720.98"/>
    <x v="0"/>
    <n v="2"/>
    <x v="4"/>
  </r>
  <r>
    <s v="ORD10006"/>
    <d v="2025-01-05T00:00:00"/>
    <x v="1"/>
    <s v="Punjab"/>
    <s v="Amritsar"/>
    <x v="0"/>
    <x v="0"/>
    <n v="2"/>
    <n v="62526.26"/>
    <n v="0"/>
    <n v="125052.52"/>
    <n v="110796.53"/>
    <n v="14255.99"/>
    <x v="1"/>
    <n v="1"/>
    <x v="5"/>
  </r>
  <r>
    <s v="ORD10007"/>
    <d v="2024-08-26T00:00:00"/>
    <x v="0"/>
    <s v="Jharkhand"/>
    <s v="Jamshedpur"/>
    <x v="1"/>
    <x v="3"/>
    <n v="1"/>
    <n v="367.18"/>
    <n v="0"/>
    <n v="367.18"/>
    <n v="328.63"/>
    <n v="38.549999999999997"/>
    <x v="0"/>
    <n v="8"/>
    <x v="6"/>
  </r>
  <r>
    <s v="ORD10008"/>
    <d v="2024-09-30T00:00:00"/>
    <x v="0"/>
    <s v="Assam"/>
    <s v="Guwahati"/>
    <x v="0"/>
    <x v="2"/>
    <n v="1"/>
    <n v="32218.07"/>
    <n v="0"/>
    <n v="32218.07"/>
    <n v="25548.93"/>
    <n v="6669.14"/>
    <x v="0"/>
    <n v="9"/>
    <x v="7"/>
  </r>
  <r>
    <s v="ORD10009"/>
    <d v="2025-07-24T00:00:00"/>
    <x v="2"/>
    <s v="Gujarat"/>
    <s v="Surat"/>
    <x v="0"/>
    <x v="0"/>
    <n v="1"/>
    <n v="66278.8"/>
    <n v="0"/>
    <n v="66278.8"/>
    <n v="57198.6"/>
    <n v="9080.2000000000007"/>
    <x v="1"/>
    <n v="7"/>
    <x v="1"/>
  </r>
  <r>
    <s v="ORD10010"/>
    <d v="2025-02-14T00:00:00"/>
    <x v="4"/>
    <s v="Madhya Pradesh"/>
    <s v="Bhopal"/>
    <x v="2"/>
    <x v="6"/>
    <n v="1"/>
    <n v="6890.41"/>
    <n v="0"/>
    <n v="6890.41"/>
    <n v="6256.49"/>
    <n v="633.91999999999996"/>
    <x v="1"/>
    <n v="2"/>
    <x v="8"/>
  </r>
  <r>
    <s v="ORD10011"/>
    <d v="2025-04-14T00:00:00"/>
    <x v="2"/>
    <s v="Goa"/>
    <s v="Panaji"/>
    <x v="0"/>
    <x v="5"/>
    <n v="1"/>
    <n v="44501.25"/>
    <n v="0"/>
    <n v="44501.25"/>
    <n v="37381.050000000003"/>
    <n v="7120.2"/>
    <x v="1"/>
    <n v="4"/>
    <x v="9"/>
  </r>
  <r>
    <s v="ORD10012"/>
    <d v="2025-03-14T00:00:00"/>
    <x v="1"/>
    <s v="Uttar Pradesh"/>
    <s v="Kanpur"/>
    <x v="0"/>
    <x v="0"/>
    <n v="1"/>
    <n v="42233.52"/>
    <n v="0.05"/>
    <n v="40121.839999999997"/>
    <n v="28646.99"/>
    <n v="11474.85"/>
    <x v="1"/>
    <n v="3"/>
    <x v="10"/>
  </r>
  <r>
    <s v="ORD10013"/>
    <d v="2024-04-22T00:00:00"/>
    <x v="2"/>
    <s v="Gujarat"/>
    <s v="Ahmedabad"/>
    <x v="2"/>
    <x v="7"/>
    <n v="1"/>
    <n v="15717.41"/>
    <n v="0"/>
    <n v="15717.41"/>
    <n v="12511.06"/>
    <n v="3206.35"/>
    <x v="0"/>
    <n v="4"/>
    <x v="0"/>
  </r>
  <r>
    <s v="ORD10014"/>
    <d v="2025-04-24T00:00:00"/>
    <x v="1"/>
    <s v="Haryana"/>
    <s v="Gurugram"/>
    <x v="2"/>
    <x v="8"/>
    <n v="1"/>
    <n v="17679.34"/>
    <n v="0"/>
    <n v="17679.34"/>
    <n v="16547.86"/>
    <n v="1131.48"/>
    <x v="1"/>
    <n v="4"/>
    <x v="9"/>
  </r>
  <r>
    <s v="ORD10015"/>
    <d v="2024-09-30T00:00:00"/>
    <x v="4"/>
    <s v="Madhya Pradesh"/>
    <s v="Indore"/>
    <x v="1"/>
    <x v="9"/>
    <n v="1"/>
    <n v="934.76"/>
    <n v="0"/>
    <n v="934.76"/>
    <n v="840.35"/>
    <n v="94.41"/>
    <x v="0"/>
    <n v="9"/>
    <x v="7"/>
  </r>
  <r>
    <s v="ORD10016"/>
    <d v="2024-09-26T00:00:00"/>
    <x v="1"/>
    <s v="Punjab"/>
    <s v="Amritsar"/>
    <x v="2"/>
    <x v="6"/>
    <n v="1"/>
    <n v="21358.400000000001"/>
    <n v="0"/>
    <n v="21358.400000000001"/>
    <n v="14203.34"/>
    <n v="7155.06"/>
    <x v="0"/>
    <n v="9"/>
    <x v="7"/>
  </r>
  <r>
    <s v="ORD10017"/>
    <d v="2024-07-22T00:00:00"/>
    <x v="2"/>
    <s v="Goa"/>
    <s v="Panaji"/>
    <x v="2"/>
    <x v="10"/>
    <n v="4"/>
    <n v="23125.35"/>
    <n v="0"/>
    <n v="92501.4"/>
    <n v="65398.49"/>
    <n v="27102.91"/>
    <x v="0"/>
    <n v="7"/>
    <x v="11"/>
  </r>
  <r>
    <s v="ORD10018"/>
    <d v="2025-05-15T00:00:00"/>
    <x v="0"/>
    <s v="Bengal"/>
    <s v="Siliguri"/>
    <x v="1"/>
    <x v="9"/>
    <n v="1"/>
    <n v="162.94999999999999"/>
    <n v="0"/>
    <n v="162.94999999999999"/>
    <n v="150.08000000000001"/>
    <n v="12.87"/>
    <x v="1"/>
    <n v="5"/>
    <x v="12"/>
  </r>
  <r>
    <s v="ORD10019"/>
    <d v="2024-03-21T00:00:00"/>
    <x v="0"/>
    <s v="Jharkhand"/>
    <s v="Ranchi"/>
    <x v="2"/>
    <x v="11"/>
    <n v="2"/>
    <n v="4953"/>
    <n v="0"/>
    <n v="9906"/>
    <n v="8103.11"/>
    <n v="1802.89"/>
    <x v="0"/>
    <n v="3"/>
    <x v="13"/>
  </r>
  <r>
    <s v="ORD10020"/>
    <d v="2025-07-16T00:00:00"/>
    <x v="2"/>
    <s v="Goa"/>
    <s v="Margao"/>
    <x v="0"/>
    <x v="5"/>
    <n v="1"/>
    <n v="61155.42"/>
    <n v="0"/>
    <n v="61155.42"/>
    <n v="48985.49"/>
    <n v="12169.93"/>
    <x v="1"/>
    <n v="7"/>
    <x v="1"/>
  </r>
  <r>
    <s v="ORD10021"/>
    <d v="2024-11-15T00:00:00"/>
    <x v="3"/>
    <s v="Kerala"/>
    <s v="Thiruvananthapuram"/>
    <x v="2"/>
    <x v="7"/>
    <n v="1"/>
    <n v="4783.1000000000004"/>
    <n v="0"/>
    <n v="4783.1000000000004"/>
    <n v="3238.16"/>
    <n v="1544.94"/>
    <x v="0"/>
    <n v="11"/>
    <x v="14"/>
  </r>
  <r>
    <s v="ORD10022"/>
    <d v="2024-12-12T00:00:00"/>
    <x v="0"/>
    <s v="Assam"/>
    <s v="Guwahati"/>
    <x v="0"/>
    <x v="1"/>
    <n v="1"/>
    <n v="57503.75"/>
    <n v="0.05"/>
    <n v="54628.56"/>
    <n v="41026.050000000003"/>
    <n v="13602.51"/>
    <x v="0"/>
    <n v="12"/>
    <x v="3"/>
  </r>
  <r>
    <s v="ORD10023"/>
    <d v="2024-02-02T00:00:00"/>
    <x v="4"/>
    <s v="Madhya Pradesh"/>
    <s v="Bhopal"/>
    <x v="1"/>
    <x v="12"/>
    <n v="1"/>
    <n v="467.76"/>
    <n v="0.15"/>
    <n v="397.6"/>
    <n v="315.69"/>
    <n v="81.91"/>
    <x v="0"/>
    <n v="2"/>
    <x v="4"/>
  </r>
  <r>
    <s v="ORD10024"/>
    <d v="2025-08-13T00:00:00"/>
    <x v="3"/>
    <s v="Tamil Nadu"/>
    <s v="Coimbatore"/>
    <x v="1"/>
    <x v="9"/>
    <n v="1"/>
    <n v="233.94"/>
    <n v="0"/>
    <n v="233.94"/>
    <n v="209.38"/>
    <n v="24.56"/>
    <x v="1"/>
    <n v="8"/>
    <x v="15"/>
  </r>
  <r>
    <s v="ORD10025"/>
    <d v="2024-12-28T00:00:00"/>
    <x v="3"/>
    <s v="Andhra Pradesh"/>
    <s v="Visakhapatnam"/>
    <x v="2"/>
    <x v="8"/>
    <n v="4"/>
    <n v="17487.38"/>
    <n v="0"/>
    <n v="69949.52"/>
    <n v="50153.81"/>
    <n v="19795.71"/>
    <x v="0"/>
    <n v="12"/>
    <x v="3"/>
  </r>
  <r>
    <s v="ORD10026"/>
    <d v="2024-04-10T00:00:00"/>
    <x v="0"/>
    <s v="Jharkhand"/>
    <s v="Jamshedpur"/>
    <x v="0"/>
    <x v="0"/>
    <n v="4"/>
    <n v="17752.439999999999"/>
    <n v="0"/>
    <n v="71009.759999999995"/>
    <n v="48428.66"/>
    <n v="22581.1"/>
    <x v="0"/>
    <n v="4"/>
    <x v="0"/>
  </r>
  <r>
    <s v="ORD10027"/>
    <d v="2024-05-23T00:00:00"/>
    <x v="3"/>
    <s v="Tamil Nadu"/>
    <s v="Coimbatore"/>
    <x v="1"/>
    <x v="9"/>
    <n v="1"/>
    <n v="1755.25"/>
    <n v="0.15"/>
    <n v="1491.96"/>
    <n v="1004.09"/>
    <n v="487.87"/>
    <x v="0"/>
    <n v="5"/>
    <x v="16"/>
  </r>
  <r>
    <s v="ORD10028"/>
    <d v="2024-04-10T00:00:00"/>
    <x v="0"/>
    <s v="Bengal"/>
    <s v="Kolkata"/>
    <x v="0"/>
    <x v="0"/>
    <n v="1"/>
    <n v="34293.879999999997"/>
    <n v="0"/>
    <n v="34293.879999999997"/>
    <n v="30555.85"/>
    <n v="3738.03"/>
    <x v="0"/>
    <n v="4"/>
    <x v="0"/>
  </r>
  <r>
    <s v="ORD10029"/>
    <d v="2025-02-14T00:00:00"/>
    <x v="0"/>
    <s v="Assam"/>
    <s v="Dibrugarh"/>
    <x v="0"/>
    <x v="2"/>
    <n v="1"/>
    <n v="23420.639999999999"/>
    <n v="0"/>
    <n v="23420.639999999999"/>
    <n v="19954.39"/>
    <n v="3466.25"/>
    <x v="1"/>
    <n v="2"/>
    <x v="8"/>
  </r>
  <r>
    <s v="ORD10030"/>
    <d v="2025-04-10T00:00:00"/>
    <x v="4"/>
    <s v="Chhattisgarh"/>
    <s v="Bilaspur"/>
    <x v="0"/>
    <x v="0"/>
    <n v="1"/>
    <n v="25846.5"/>
    <n v="0"/>
    <n v="25846.5"/>
    <n v="22460.61"/>
    <n v="3385.89"/>
    <x v="1"/>
    <n v="4"/>
    <x v="9"/>
  </r>
  <r>
    <s v="ORD10031"/>
    <d v="2025-08-16T00:00:00"/>
    <x v="1"/>
    <s v="Delhi"/>
    <s v="New Delhi"/>
    <x v="0"/>
    <x v="1"/>
    <n v="2"/>
    <n v="47981.67"/>
    <n v="0"/>
    <n v="95963.34"/>
    <n v="80897.100000000006"/>
    <n v="15066.24"/>
    <x v="1"/>
    <n v="8"/>
    <x v="15"/>
  </r>
  <r>
    <s v="ORD10032"/>
    <d v="2025-06-27T00:00:00"/>
    <x v="2"/>
    <s v="Maharashtra"/>
    <s v="Mumbai"/>
    <x v="0"/>
    <x v="1"/>
    <n v="1"/>
    <n v="48817.7"/>
    <n v="0"/>
    <n v="48817.7"/>
    <n v="38419.53"/>
    <n v="10398.17"/>
    <x v="1"/>
    <n v="6"/>
    <x v="17"/>
  </r>
  <r>
    <s v="ORD10033"/>
    <d v="2024-08-28T00:00:00"/>
    <x v="3"/>
    <s v="Karnataka"/>
    <s v="Bengaluru"/>
    <x v="2"/>
    <x v="10"/>
    <n v="1"/>
    <n v="2914.06"/>
    <n v="0.15"/>
    <n v="2476.9499999999998"/>
    <n v="1756.16"/>
    <n v="720.79"/>
    <x v="0"/>
    <n v="8"/>
    <x v="6"/>
  </r>
  <r>
    <s v="ORD10034"/>
    <d v="2025-08-20T00:00:00"/>
    <x v="1"/>
    <s v="Haryana"/>
    <s v="Faridabad"/>
    <x v="0"/>
    <x v="4"/>
    <n v="1"/>
    <n v="21378.82"/>
    <n v="0"/>
    <n v="21378.82"/>
    <n v="13981.75"/>
    <n v="7397.07"/>
    <x v="1"/>
    <n v="8"/>
    <x v="15"/>
  </r>
  <r>
    <s v="ORD10035"/>
    <d v="2024-11-03T00:00:00"/>
    <x v="3"/>
    <s v="Kerala"/>
    <s v="Kochi"/>
    <x v="0"/>
    <x v="2"/>
    <n v="2"/>
    <n v="50829.26"/>
    <n v="0"/>
    <n v="101658.52"/>
    <n v="90476.08"/>
    <n v="11182.44"/>
    <x v="0"/>
    <n v="11"/>
    <x v="14"/>
  </r>
  <r>
    <s v="ORD10036"/>
    <d v="2024-04-12T00:00:00"/>
    <x v="0"/>
    <s v="Assam"/>
    <s v="Dibrugarh"/>
    <x v="0"/>
    <x v="4"/>
    <n v="1"/>
    <n v="70826.539999999994"/>
    <n v="0"/>
    <n v="70826.539999999994"/>
    <n v="49932.71"/>
    <n v="20893.830000000002"/>
    <x v="0"/>
    <n v="4"/>
    <x v="0"/>
  </r>
  <r>
    <s v="ORD10037"/>
    <d v="2025-01-13T00:00:00"/>
    <x v="4"/>
    <s v="Madhya Pradesh"/>
    <s v="Indore"/>
    <x v="2"/>
    <x v="6"/>
    <n v="2"/>
    <n v="16068.59"/>
    <n v="0"/>
    <n v="32137.18"/>
    <n v="23492.28"/>
    <n v="8644.9"/>
    <x v="1"/>
    <n v="1"/>
    <x v="5"/>
  </r>
  <r>
    <s v="ORD10038"/>
    <d v="2025-06-25T00:00:00"/>
    <x v="0"/>
    <s v="Odisha"/>
    <s v="Bhubaneswar"/>
    <x v="0"/>
    <x v="4"/>
    <n v="2"/>
    <n v="11888.01"/>
    <n v="0.15"/>
    <n v="20209.62"/>
    <n v="18754.53"/>
    <n v="1455.09"/>
    <x v="1"/>
    <n v="6"/>
    <x v="17"/>
  </r>
  <r>
    <s v="ORD10039"/>
    <d v="2024-06-08T00:00:00"/>
    <x v="4"/>
    <s v="Chhattisgarh"/>
    <s v="Raipur"/>
    <x v="2"/>
    <x v="6"/>
    <n v="1"/>
    <n v="6682.74"/>
    <n v="0"/>
    <n v="6682.74"/>
    <n v="6114.71"/>
    <n v="568.03"/>
    <x v="0"/>
    <n v="6"/>
    <x v="18"/>
  </r>
  <r>
    <s v="ORD10040"/>
    <d v="2024-09-27T00:00:00"/>
    <x v="1"/>
    <s v="Uttar Pradesh"/>
    <s v="Kanpur"/>
    <x v="0"/>
    <x v="1"/>
    <n v="3"/>
    <n v="51839.9"/>
    <n v="0"/>
    <n v="155519.70000000001"/>
    <n v="118661.53"/>
    <n v="36858.17"/>
    <x v="0"/>
    <n v="9"/>
    <x v="7"/>
  </r>
  <r>
    <s v="ORD10041"/>
    <d v="2024-02-15T00:00:00"/>
    <x v="0"/>
    <s v="Odisha"/>
    <s v="Bhubaneswar"/>
    <x v="2"/>
    <x v="6"/>
    <n v="1"/>
    <n v="5716.39"/>
    <n v="0"/>
    <n v="5716.39"/>
    <n v="5321.96"/>
    <n v="394.43"/>
    <x v="0"/>
    <n v="2"/>
    <x v="4"/>
  </r>
  <r>
    <s v="ORD10042"/>
    <d v="2025-03-13T00:00:00"/>
    <x v="1"/>
    <s v="Delhi"/>
    <s v="New Delhi"/>
    <x v="0"/>
    <x v="0"/>
    <n v="1"/>
    <n v="45010.45"/>
    <n v="0"/>
    <n v="45010.45"/>
    <n v="38348.9"/>
    <n v="6661.55"/>
    <x v="1"/>
    <n v="3"/>
    <x v="10"/>
  </r>
  <r>
    <s v="ORD10043"/>
    <d v="2025-08-19T00:00:00"/>
    <x v="1"/>
    <s v="Punjab"/>
    <s v="Ludhiana"/>
    <x v="0"/>
    <x v="1"/>
    <n v="2"/>
    <n v="26735.89"/>
    <n v="0"/>
    <n v="53471.78"/>
    <n v="40585.08"/>
    <n v="12886.7"/>
    <x v="1"/>
    <n v="8"/>
    <x v="15"/>
  </r>
  <r>
    <s v="ORD10044"/>
    <d v="2024-02-10T00:00:00"/>
    <x v="4"/>
    <s v="Madhya Pradesh"/>
    <s v="Bhopal"/>
    <x v="2"/>
    <x v="8"/>
    <n v="3"/>
    <n v="10134.61"/>
    <n v="0"/>
    <n v="30403.83"/>
    <n v="24566.29"/>
    <n v="5837.54"/>
    <x v="0"/>
    <n v="2"/>
    <x v="4"/>
  </r>
  <r>
    <s v="ORD10045"/>
    <d v="2025-02-20T00:00:00"/>
    <x v="1"/>
    <s v="Punjab"/>
    <s v="Amritsar"/>
    <x v="0"/>
    <x v="0"/>
    <n v="1"/>
    <n v="70869.05"/>
    <n v="0.15"/>
    <n v="60238.69"/>
    <n v="44335.68"/>
    <n v="15903.01"/>
    <x v="1"/>
    <n v="2"/>
    <x v="8"/>
  </r>
  <r>
    <s v="ORD10046"/>
    <d v="2024-12-06T00:00:00"/>
    <x v="3"/>
    <s v="Tamil Nadu"/>
    <s v="Coimbatore"/>
    <x v="0"/>
    <x v="1"/>
    <n v="2"/>
    <n v="32455.71"/>
    <n v="0.1"/>
    <n v="58420.28"/>
    <n v="45684.66"/>
    <n v="12735.62"/>
    <x v="0"/>
    <n v="12"/>
    <x v="3"/>
  </r>
  <r>
    <s v="ORD10047"/>
    <d v="2024-08-15T00:00:00"/>
    <x v="2"/>
    <s v="Goa"/>
    <s v="Margao"/>
    <x v="1"/>
    <x v="9"/>
    <n v="2"/>
    <n v="484.7"/>
    <n v="0"/>
    <n v="969.4"/>
    <n v="777.46"/>
    <n v="191.94"/>
    <x v="0"/>
    <n v="8"/>
    <x v="6"/>
  </r>
  <r>
    <s v="ORD10048"/>
    <d v="2025-02-12T00:00:00"/>
    <x v="4"/>
    <s v="Chhattisgarh"/>
    <s v="Raipur"/>
    <x v="1"/>
    <x v="3"/>
    <n v="1"/>
    <n v="1300.8900000000001"/>
    <n v="0"/>
    <n v="1300.8900000000001"/>
    <n v="1069.33"/>
    <n v="231.56"/>
    <x v="1"/>
    <n v="2"/>
    <x v="8"/>
  </r>
  <r>
    <s v="ORD10049"/>
    <d v="2025-07-03T00:00:00"/>
    <x v="4"/>
    <s v="Madhya Pradesh"/>
    <s v="Bhopal"/>
    <x v="1"/>
    <x v="9"/>
    <n v="1"/>
    <n v="1182.1500000000001"/>
    <n v="0"/>
    <n v="1182.1500000000001"/>
    <n v="1085.21"/>
    <n v="96.94"/>
    <x v="1"/>
    <n v="7"/>
    <x v="1"/>
  </r>
  <r>
    <s v="ORD10050"/>
    <d v="2024-02-09T00:00:00"/>
    <x v="0"/>
    <s v="Jharkhand"/>
    <s v="Jamshedpur"/>
    <x v="2"/>
    <x v="6"/>
    <n v="1"/>
    <n v="12037.06"/>
    <n v="0"/>
    <n v="12037.06"/>
    <n v="9136.1299999999992"/>
    <n v="2900.93"/>
    <x v="0"/>
    <n v="2"/>
    <x v="4"/>
  </r>
  <r>
    <s v="ORD10051"/>
    <d v="2024-04-28T00:00:00"/>
    <x v="3"/>
    <s v="Tamil Nadu"/>
    <s v="Coimbatore"/>
    <x v="0"/>
    <x v="2"/>
    <n v="1"/>
    <n v="3130.23"/>
    <n v="0"/>
    <n v="3130.23"/>
    <n v="2494.79"/>
    <n v="635.44000000000005"/>
    <x v="0"/>
    <n v="4"/>
    <x v="0"/>
  </r>
  <r>
    <s v="ORD10052"/>
    <d v="2025-07-05T00:00:00"/>
    <x v="2"/>
    <s v="Goa"/>
    <s v="Margao"/>
    <x v="0"/>
    <x v="4"/>
    <n v="3"/>
    <n v="50982.97"/>
    <n v="0"/>
    <n v="152948.91"/>
    <n v="133830.29999999999"/>
    <n v="19118.61"/>
    <x v="1"/>
    <n v="7"/>
    <x v="1"/>
  </r>
  <r>
    <s v="ORD10053"/>
    <d v="2024-05-07T00:00:00"/>
    <x v="4"/>
    <s v="Chhattisgarh"/>
    <s v="Bilaspur"/>
    <x v="1"/>
    <x v="12"/>
    <n v="1"/>
    <n v="1409.56"/>
    <n v="0"/>
    <n v="1409.56"/>
    <n v="1019.11"/>
    <n v="390.45"/>
    <x v="0"/>
    <n v="5"/>
    <x v="16"/>
  </r>
  <r>
    <s v="ORD10054"/>
    <d v="2024-07-15T00:00:00"/>
    <x v="3"/>
    <s v="Andhra Pradesh"/>
    <s v="Vijayawada"/>
    <x v="2"/>
    <x v="10"/>
    <n v="1"/>
    <n v="8921.85"/>
    <n v="0"/>
    <n v="8921.85"/>
    <n v="8270.5499999999993"/>
    <n v="651.29999999999995"/>
    <x v="0"/>
    <n v="7"/>
    <x v="11"/>
  </r>
  <r>
    <s v="ORD10055"/>
    <d v="2024-01-01T00:00:00"/>
    <x v="4"/>
    <s v="Chhattisgarh"/>
    <s v="Raipur"/>
    <x v="1"/>
    <x v="13"/>
    <n v="1"/>
    <n v="1232.99"/>
    <n v="0"/>
    <n v="1232.99"/>
    <n v="1112.1600000000001"/>
    <n v="120.83"/>
    <x v="0"/>
    <n v="1"/>
    <x v="2"/>
  </r>
  <r>
    <s v="ORD10056"/>
    <d v="2025-03-28T00:00:00"/>
    <x v="3"/>
    <s v="Tamil Nadu"/>
    <s v="Coimbatore"/>
    <x v="2"/>
    <x v="11"/>
    <n v="3"/>
    <n v="17153.57"/>
    <n v="0"/>
    <n v="51460.71"/>
    <n v="36434.18"/>
    <n v="15026.53"/>
    <x v="1"/>
    <n v="3"/>
    <x v="10"/>
  </r>
  <r>
    <s v="ORD10057"/>
    <d v="2024-12-09T00:00:00"/>
    <x v="0"/>
    <s v="Assam"/>
    <s v="Dibrugarh"/>
    <x v="0"/>
    <x v="0"/>
    <n v="1"/>
    <n v="14346.26"/>
    <n v="0.1"/>
    <n v="12911.63"/>
    <n v="8896.11"/>
    <n v="4015.52"/>
    <x v="0"/>
    <n v="12"/>
    <x v="3"/>
  </r>
  <r>
    <s v="ORD10058"/>
    <d v="2024-03-15T00:00:00"/>
    <x v="3"/>
    <s v="Andhra Pradesh"/>
    <s v="Vijayawada"/>
    <x v="2"/>
    <x v="7"/>
    <n v="2"/>
    <n v="13370.67"/>
    <n v="0"/>
    <n v="26741.34"/>
    <n v="23906.76"/>
    <n v="2834.58"/>
    <x v="0"/>
    <n v="3"/>
    <x v="13"/>
  </r>
  <r>
    <s v="ORD10059"/>
    <d v="2024-01-06T00:00:00"/>
    <x v="0"/>
    <s v="Jharkhand"/>
    <s v="Ranchi"/>
    <x v="0"/>
    <x v="5"/>
    <n v="3"/>
    <n v="38770.339999999997"/>
    <n v="0"/>
    <n v="116311.02"/>
    <n v="91653.08"/>
    <n v="24657.94"/>
    <x v="0"/>
    <n v="1"/>
    <x v="2"/>
  </r>
  <r>
    <s v="ORD10060"/>
    <d v="2024-05-04T00:00:00"/>
    <x v="3"/>
    <s v="Tamil Nadu"/>
    <s v="Coimbatore"/>
    <x v="2"/>
    <x v="10"/>
    <n v="2"/>
    <n v="24721.53"/>
    <n v="0"/>
    <n v="49443.06"/>
    <n v="33670.720000000001"/>
    <n v="15772.34"/>
    <x v="0"/>
    <n v="5"/>
    <x v="16"/>
  </r>
  <r>
    <s v="ORD10061"/>
    <d v="2025-03-29T00:00:00"/>
    <x v="1"/>
    <s v="Uttar Pradesh"/>
    <s v="Kanpur"/>
    <x v="0"/>
    <x v="2"/>
    <n v="1"/>
    <n v="37655.370000000003"/>
    <n v="0"/>
    <n v="37655.370000000003"/>
    <n v="34529.97"/>
    <n v="3125.4"/>
    <x v="1"/>
    <n v="3"/>
    <x v="10"/>
  </r>
  <r>
    <s v="ORD10062"/>
    <d v="2024-10-10T00:00:00"/>
    <x v="1"/>
    <s v="Uttar Pradesh"/>
    <s v="Lucknow"/>
    <x v="1"/>
    <x v="12"/>
    <n v="1"/>
    <n v="201.09"/>
    <n v="0"/>
    <n v="201.09"/>
    <n v="165.3"/>
    <n v="35.79"/>
    <x v="0"/>
    <n v="10"/>
    <x v="19"/>
  </r>
  <r>
    <s v="ORD10063"/>
    <d v="2024-10-05T00:00:00"/>
    <x v="4"/>
    <s v="Chhattisgarh"/>
    <s v="Raipur"/>
    <x v="0"/>
    <x v="0"/>
    <n v="2"/>
    <n v="20807.13"/>
    <n v="0"/>
    <n v="41614.26"/>
    <n v="28797.07"/>
    <n v="12817.19"/>
    <x v="0"/>
    <n v="10"/>
    <x v="19"/>
  </r>
  <r>
    <s v="ORD10064"/>
    <d v="2024-08-07T00:00:00"/>
    <x v="0"/>
    <s v="Jharkhand"/>
    <s v="Jamshedpur"/>
    <x v="1"/>
    <x v="13"/>
    <n v="1"/>
    <n v="958.55"/>
    <n v="0.1"/>
    <n v="862.69"/>
    <n v="687.56"/>
    <n v="175.13"/>
    <x v="0"/>
    <n v="8"/>
    <x v="6"/>
  </r>
  <r>
    <s v="ORD10065"/>
    <d v="2025-02-02T00:00:00"/>
    <x v="1"/>
    <s v="Delhi"/>
    <s v="New Delhi"/>
    <x v="1"/>
    <x v="14"/>
    <n v="1"/>
    <n v="1888.35"/>
    <n v="0"/>
    <n v="1888.35"/>
    <n v="1667.41"/>
    <n v="220.94"/>
    <x v="1"/>
    <n v="2"/>
    <x v="8"/>
  </r>
  <r>
    <s v="ORD10066"/>
    <d v="2025-02-03T00:00:00"/>
    <x v="3"/>
    <s v="Tamil Nadu"/>
    <s v="Coimbatore"/>
    <x v="0"/>
    <x v="4"/>
    <n v="1"/>
    <n v="36559.370000000003"/>
    <n v="0.1"/>
    <n v="32903.43"/>
    <n v="27935.01"/>
    <n v="4968.42"/>
    <x v="1"/>
    <n v="2"/>
    <x v="8"/>
  </r>
  <r>
    <s v="ORD10067"/>
    <d v="2025-02-18T00:00:00"/>
    <x v="2"/>
    <s v="Goa"/>
    <s v="Panaji"/>
    <x v="2"/>
    <x v="10"/>
    <n v="4"/>
    <n v="2620.23"/>
    <n v="0"/>
    <n v="10480.92"/>
    <n v="8940.2199999999993"/>
    <n v="1540.7"/>
    <x v="1"/>
    <n v="2"/>
    <x v="8"/>
  </r>
  <r>
    <s v="ORD10068"/>
    <d v="2025-07-31T00:00:00"/>
    <x v="0"/>
    <s v="Bengal"/>
    <s v="Siliguri"/>
    <x v="0"/>
    <x v="2"/>
    <n v="1"/>
    <n v="16993.14"/>
    <n v="0"/>
    <n v="16993.14"/>
    <n v="12557.93"/>
    <n v="4435.21"/>
    <x v="1"/>
    <n v="7"/>
    <x v="1"/>
  </r>
  <r>
    <s v="ORD10069"/>
    <d v="2024-12-01T00:00:00"/>
    <x v="2"/>
    <s v="Goa"/>
    <s v="Margao"/>
    <x v="1"/>
    <x v="12"/>
    <n v="1"/>
    <n v="592.6"/>
    <n v="0"/>
    <n v="592.6"/>
    <n v="389.93"/>
    <n v="202.67"/>
    <x v="0"/>
    <n v="12"/>
    <x v="3"/>
  </r>
  <r>
    <s v="ORD10070"/>
    <d v="2025-03-07T00:00:00"/>
    <x v="4"/>
    <s v="Madhya Pradesh"/>
    <s v="Indore"/>
    <x v="0"/>
    <x v="5"/>
    <n v="4"/>
    <n v="7010.59"/>
    <n v="0"/>
    <n v="28042.36"/>
    <n v="24509.02"/>
    <n v="3533.34"/>
    <x v="1"/>
    <n v="3"/>
    <x v="10"/>
  </r>
  <r>
    <s v="ORD10071"/>
    <d v="2024-08-17T00:00:00"/>
    <x v="0"/>
    <s v="Bengal"/>
    <s v="Kolkata"/>
    <x v="0"/>
    <x v="0"/>
    <n v="1"/>
    <n v="67620.62"/>
    <n v="0"/>
    <n v="67620.62"/>
    <n v="58153.73"/>
    <n v="9466.89"/>
    <x v="0"/>
    <n v="8"/>
    <x v="6"/>
  </r>
  <r>
    <s v="ORD10072"/>
    <d v="2024-09-01T00:00:00"/>
    <x v="2"/>
    <s v="Goa"/>
    <s v="Panaji"/>
    <x v="2"/>
    <x v="11"/>
    <n v="1"/>
    <n v="12695.78"/>
    <n v="0"/>
    <n v="12695.78"/>
    <n v="11921.34"/>
    <n v="774.44"/>
    <x v="0"/>
    <n v="9"/>
    <x v="7"/>
  </r>
  <r>
    <s v="ORD10073"/>
    <d v="2025-01-12T00:00:00"/>
    <x v="2"/>
    <s v="Gujarat"/>
    <s v="Ahmedabad"/>
    <x v="0"/>
    <x v="4"/>
    <n v="1"/>
    <n v="11323.6"/>
    <n v="0.1"/>
    <n v="10191.24"/>
    <n v="8142.8"/>
    <n v="2048.44"/>
    <x v="1"/>
    <n v="1"/>
    <x v="5"/>
  </r>
  <r>
    <s v="ORD10074"/>
    <d v="2025-08-12T00:00:00"/>
    <x v="3"/>
    <s v="Andhra Pradesh"/>
    <s v="Vijayawada"/>
    <x v="0"/>
    <x v="5"/>
    <n v="1"/>
    <n v="56177.31"/>
    <n v="0"/>
    <n v="56177.31"/>
    <n v="48649.55"/>
    <n v="7527.76"/>
    <x v="1"/>
    <n v="8"/>
    <x v="15"/>
  </r>
  <r>
    <s v="ORD10075"/>
    <d v="2024-04-14T00:00:00"/>
    <x v="4"/>
    <s v="Madhya Pradesh"/>
    <s v="Bhopal"/>
    <x v="1"/>
    <x v="13"/>
    <n v="3"/>
    <n v="885.34"/>
    <n v="0"/>
    <n v="2656.02"/>
    <n v="2331.9899999999998"/>
    <n v="324.02999999999997"/>
    <x v="0"/>
    <n v="4"/>
    <x v="0"/>
  </r>
  <r>
    <s v="ORD10076"/>
    <d v="2025-06-02T00:00:00"/>
    <x v="4"/>
    <s v="Madhya Pradesh"/>
    <s v="Indore"/>
    <x v="1"/>
    <x v="14"/>
    <n v="1"/>
    <n v="895.37"/>
    <n v="0"/>
    <n v="895.37"/>
    <n v="718.98"/>
    <n v="176.39"/>
    <x v="1"/>
    <n v="6"/>
    <x v="17"/>
  </r>
  <r>
    <s v="ORD10077"/>
    <d v="2025-04-15T00:00:00"/>
    <x v="2"/>
    <s v="Goa"/>
    <s v="Panaji"/>
    <x v="2"/>
    <x v="10"/>
    <n v="5"/>
    <n v="24205.9"/>
    <n v="0"/>
    <n v="121029.5"/>
    <n v="106142.87"/>
    <n v="14886.63"/>
    <x v="1"/>
    <n v="4"/>
    <x v="9"/>
  </r>
  <r>
    <s v="ORD10078"/>
    <d v="2025-07-05T00:00:00"/>
    <x v="3"/>
    <s v="Andhra Pradesh"/>
    <s v="Visakhapatnam"/>
    <x v="2"/>
    <x v="10"/>
    <n v="2"/>
    <n v="8173.1"/>
    <n v="0"/>
    <n v="16346.2"/>
    <n v="11801.96"/>
    <n v="4544.24"/>
    <x v="1"/>
    <n v="7"/>
    <x v="1"/>
  </r>
  <r>
    <s v="ORD10079"/>
    <d v="2024-03-29T00:00:00"/>
    <x v="4"/>
    <s v="Chhattisgarh"/>
    <s v="Raipur"/>
    <x v="1"/>
    <x v="13"/>
    <n v="1"/>
    <n v="1240.1500000000001"/>
    <n v="0"/>
    <n v="1240.1500000000001"/>
    <n v="907.79"/>
    <n v="332.36"/>
    <x v="0"/>
    <n v="3"/>
    <x v="13"/>
  </r>
  <r>
    <s v="ORD10080"/>
    <d v="2024-01-30T00:00:00"/>
    <x v="3"/>
    <s v="Kerala"/>
    <s v="Kochi"/>
    <x v="1"/>
    <x v="9"/>
    <n v="1"/>
    <n v="741.91"/>
    <n v="0"/>
    <n v="741.91"/>
    <n v="563.85"/>
    <n v="178.06"/>
    <x v="0"/>
    <n v="1"/>
    <x v="2"/>
  </r>
  <r>
    <s v="ORD10081"/>
    <d v="2024-10-13T00:00:00"/>
    <x v="1"/>
    <s v="Haryana"/>
    <s v="Gurugram"/>
    <x v="2"/>
    <x v="11"/>
    <n v="1"/>
    <n v="3969.1"/>
    <n v="0"/>
    <n v="3969.1"/>
    <n v="3131.62"/>
    <n v="837.48"/>
    <x v="0"/>
    <n v="10"/>
    <x v="19"/>
  </r>
  <r>
    <s v="ORD10082"/>
    <d v="2025-05-15T00:00:00"/>
    <x v="1"/>
    <s v="Punjab"/>
    <s v="Ludhiana"/>
    <x v="2"/>
    <x v="7"/>
    <n v="1"/>
    <n v="12308.01"/>
    <n v="0.1"/>
    <n v="11077.21"/>
    <n v="7742.97"/>
    <n v="3334.24"/>
    <x v="1"/>
    <n v="5"/>
    <x v="12"/>
  </r>
  <r>
    <s v="ORD10083"/>
    <d v="2024-08-14T00:00:00"/>
    <x v="3"/>
    <s v="Tamil Nadu"/>
    <s v="Coimbatore"/>
    <x v="2"/>
    <x v="10"/>
    <n v="1"/>
    <n v="10487.47"/>
    <n v="0"/>
    <n v="10487.47"/>
    <n v="9375.7999999999993"/>
    <n v="1111.67"/>
    <x v="0"/>
    <n v="8"/>
    <x v="6"/>
  </r>
  <r>
    <s v="ORD10084"/>
    <d v="2024-12-18T00:00:00"/>
    <x v="3"/>
    <s v="Kerala"/>
    <s v="Thiruvananthapuram"/>
    <x v="2"/>
    <x v="7"/>
    <n v="1"/>
    <n v="8231.08"/>
    <n v="0"/>
    <n v="8231.08"/>
    <n v="6362.62"/>
    <n v="1868.46"/>
    <x v="0"/>
    <n v="12"/>
    <x v="3"/>
  </r>
  <r>
    <s v="ORD10085"/>
    <d v="2024-05-03T00:00:00"/>
    <x v="2"/>
    <s v="Goa"/>
    <s v="Panaji"/>
    <x v="2"/>
    <x v="10"/>
    <n v="2"/>
    <n v="23870.18"/>
    <n v="0"/>
    <n v="47740.36"/>
    <n v="45114.64"/>
    <n v="2625.72"/>
    <x v="0"/>
    <n v="5"/>
    <x v="16"/>
  </r>
  <r>
    <s v="ORD10086"/>
    <d v="2024-07-15T00:00:00"/>
    <x v="2"/>
    <s v="Gujarat"/>
    <s v="Surat"/>
    <x v="1"/>
    <x v="13"/>
    <n v="1"/>
    <n v="1954.38"/>
    <n v="0"/>
    <n v="1954.38"/>
    <n v="1723.76"/>
    <n v="230.62"/>
    <x v="0"/>
    <n v="7"/>
    <x v="11"/>
  </r>
  <r>
    <s v="ORD10087"/>
    <d v="2024-10-16T00:00:00"/>
    <x v="0"/>
    <s v="Assam"/>
    <s v="Dibrugarh"/>
    <x v="0"/>
    <x v="4"/>
    <n v="1"/>
    <n v="16817"/>
    <n v="0.15"/>
    <n v="14294.45"/>
    <n v="12836.42"/>
    <n v="1458.03"/>
    <x v="0"/>
    <n v="10"/>
    <x v="19"/>
  </r>
  <r>
    <s v="ORD10088"/>
    <d v="2024-05-09T00:00:00"/>
    <x v="4"/>
    <s v="Madhya Pradesh"/>
    <s v="Bhopal"/>
    <x v="2"/>
    <x v="6"/>
    <n v="2"/>
    <n v="18040.599999999999"/>
    <n v="0.1"/>
    <n v="32473.08"/>
    <n v="27082.55"/>
    <n v="5390.53"/>
    <x v="0"/>
    <n v="5"/>
    <x v="16"/>
  </r>
  <r>
    <s v="ORD10089"/>
    <d v="2024-04-15T00:00:00"/>
    <x v="0"/>
    <s v="Odisha"/>
    <s v="Cuttack"/>
    <x v="1"/>
    <x v="12"/>
    <n v="4"/>
    <n v="714.38"/>
    <n v="0"/>
    <n v="2857.52"/>
    <n v="2597.4899999999998"/>
    <n v="260.02999999999997"/>
    <x v="0"/>
    <n v="4"/>
    <x v="0"/>
  </r>
  <r>
    <s v="ORD10090"/>
    <d v="2024-09-15T00:00:00"/>
    <x v="3"/>
    <s v="Karnataka"/>
    <s v="Bengaluru"/>
    <x v="1"/>
    <x v="12"/>
    <n v="1"/>
    <n v="194.46"/>
    <n v="0"/>
    <n v="194.46"/>
    <n v="178.13"/>
    <n v="16.329999999999998"/>
    <x v="0"/>
    <n v="9"/>
    <x v="7"/>
  </r>
  <r>
    <s v="ORD10091"/>
    <d v="2024-02-24T00:00:00"/>
    <x v="2"/>
    <s v="Maharashtra"/>
    <s v="Pune"/>
    <x v="0"/>
    <x v="0"/>
    <n v="3"/>
    <n v="12120.77"/>
    <n v="0"/>
    <n v="36362.31"/>
    <n v="24980.91"/>
    <n v="11381.4"/>
    <x v="0"/>
    <n v="2"/>
    <x v="4"/>
  </r>
  <r>
    <s v="ORD10092"/>
    <d v="2024-08-19T00:00:00"/>
    <x v="1"/>
    <s v="Uttar Pradesh"/>
    <s v="Kanpur"/>
    <x v="1"/>
    <x v="3"/>
    <n v="1"/>
    <n v="1727.32"/>
    <n v="0"/>
    <n v="1727.32"/>
    <n v="1298.94"/>
    <n v="428.38"/>
    <x v="0"/>
    <n v="8"/>
    <x v="6"/>
  </r>
  <r>
    <s v="ORD10093"/>
    <d v="2024-11-08T00:00:00"/>
    <x v="1"/>
    <s v="Delhi"/>
    <s v="New Delhi"/>
    <x v="0"/>
    <x v="0"/>
    <n v="2"/>
    <n v="23377.75"/>
    <n v="0.05"/>
    <n v="44417.72"/>
    <n v="34779.07"/>
    <n v="9638.65"/>
    <x v="0"/>
    <n v="11"/>
    <x v="14"/>
  </r>
  <r>
    <s v="ORD10094"/>
    <d v="2024-06-26T00:00:00"/>
    <x v="1"/>
    <s v="Delhi"/>
    <s v="New Delhi"/>
    <x v="0"/>
    <x v="2"/>
    <n v="1"/>
    <n v="37688.79"/>
    <n v="0"/>
    <n v="37688.79"/>
    <n v="33053.07"/>
    <n v="4635.72"/>
    <x v="0"/>
    <n v="6"/>
    <x v="18"/>
  </r>
  <r>
    <s v="ORD10095"/>
    <d v="2024-10-25T00:00:00"/>
    <x v="0"/>
    <s v="Assam"/>
    <s v="Dibrugarh"/>
    <x v="2"/>
    <x v="6"/>
    <n v="1"/>
    <n v="18168.71"/>
    <n v="0"/>
    <n v="18168.71"/>
    <n v="12372.89"/>
    <n v="5795.82"/>
    <x v="0"/>
    <n v="10"/>
    <x v="19"/>
  </r>
  <r>
    <s v="ORD10096"/>
    <d v="2024-08-27T00:00:00"/>
    <x v="4"/>
    <s v="Madhya Pradesh"/>
    <s v="Indore"/>
    <x v="0"/>
    <x v="5"/>
    <n v="3"/>
    <n v="20310.330000000002"/>
    <n v="0.1"/>
    <n v="54837.89"/>
    <n v="41676.800000000003"/>
    <n v="13161.09"/>
    <x v="0"/>
    <n v="8"/>
    <x v="6"/>
  </r>
  <r>
    <s v="ORD10097"/>
    <d v="2024-05-25T00:00:00"/>
    <x v="0"/>
    <s v="Bengal"/>
    <s v="Kolkata"/>
    <x v="1"/>
    <x v="13"/>
    <n v="1"/>
    <n v="1510.47"/>
    <n v="0"/>
    <n v="1510.47"/>
    <n v="1276.3499999999999"/>
    <n v="234.12"/>
    <x v="0"/>
    <n v="5"/>
    <x v="16"/>
  </r>
  <r>
    <s v="ORD10098"/>
    <d v="2024-10-22T00:00:00"/>
    <x v="3"/>
    <s v="Karnataka"/>
    <s v="Mysuru"/>
    <x v="2"/>
    <x v="6"/>
    <n v="2"/>
    <n v="18093.87"/>
    <n v="0"/>
    <n v="36187.74"/>
    <n v="24643.85"/>
    <n v="11543.89"/>
    <x v="0"/>
    <n v="10"/>
    <x v="19"/>
  </r>
  <r>
    <s v="ORD10099"/>
    <d v="2025-05-27T00:00:00"/>
    <x v="1"/>
    <s v="Uttar Pradesh"/>
    <s v="Kanpur"/>
    <x v="0"/>
    <x v="5"/>
    <n v="3"/>
    <n v="6069.28"/>
    <n v="0"/>
    <n v="18207.84"/>
    <n v="13036.81"/>
    <n v="5171.03"/>
    <x v="1"/>
    <n v="5"/>
    <x v="12"/>
  </r>
  <r>
    <s v="ORD10100"/>
    <d v="2024-11-26T00:00:00"/>
    <x v="1"/>
    <s v="Haryana"/>
    <s v="Gurugram"/>
    <x v="0"/>
    <x v="0"/>
    <n v="1"/>
    <n v="77067.149999999994"/>
    <n v="0"/>
    <n v="77067.149999999994"/>
    <n v="71287.11"/>
    <n v="5780.04"/>
    <x v="0"/>
    <n v="11"/>
    <x v="14"/>
  </r>
  <r>
    <s v="ORD10101"/>
    <d v="2025-08-12T00:00:00"/>
    <x v="1"/>
    <s v="Delhi"/>
    <s v="New Delhi"/>
    <x v="2"/>
    <x v="8"/>
    <n v="1"/>
    <n v="19551.509999999998"/>
    <n v="0.15"/>
    <n v="16618.78"/>
    <n v="11300.77"/>
    <n v="5318.01"/>
    <x v="1"/>
    <n v="8"/>
    <x v="15"/>
  </r>
  <r>
    <s v="ORD10102"/>
    <d v="2025-03-28T00:00:00"/>
    <x v="4"/>
    <s v="Madhya Pradesh"/>
    <s v="Indore"/>
    <x v="2"/>
    <x v="7"/>
    <n v="1"/>
    <n v="24288.27"/>
    <n v="0"/>
    <n v="24288.27"/>
    <n v="23000.99"/>
    <n v="1287.28"/>
    <x v="1"/>
    <n v="3"/>
    <x v="10"/>
  </r>
  <r>
    <s v="ORD10103"/>
    <d v="2025-02-22T00:00:00"/>
    <x v="4"/>
    <s v="Chhattisgarh"/>
    <s v="Raipur"/>
    <x v="0"/>
    <x v="4"/>
    <n v="1"/>
    <n v="34696.67"/>
    <n v="0"/>
    <n v="34696.67"/>
    <n v="26057.200000000001"/>
    <n v="8639.4699999999993"/>
    <x v="1"/>
    <n v="2"/>
    <x v="8"/>
  </r>
  <r>
    <s v="ORD10104"/>
    <d v="2025-02-14T00:00:00"/>
    <x v="1"/>
    <s v="Delhi"/>
    <s v="New Delhi"/>
    <x v="0"/>
    <x v="4"/>
    <n v="1"/>
    <n v="22434.71"/>
    <n v="0.1"/>
    <n v="20191.240000000002"/>
    <n v="18212.5"/>
    <n v="1978.74"/>
    <x v="1"/>
    <n v="2"/>
    <x v="8"/>
  </r>
  <r>
    <s v="ORD10105"/>
    <d v="2025-06-10T00:00:00"/>
    <x v="0"/>
    <s v="Jharkhand"/>
    <s v="Jamshedpur"/>
    <x v="0"/>
    <x v="0"/>
    <n v="1"/>
    <n v="42919.83"/>
    <n v="0"/>
    <n v="42919.83"/>
    <n v="31846.51"/>
    <n v="11073.32"/>
    <x v="1"/>
    <n v="6"/>
    <x v="17"/>
  </r>
  <r>
    <s v="ORD10106"/>
    <d v="2025-05-25T00:00:00"/>
    <x v="3"/>
    <s v="Karnataka"/>
    <s v="Bengaluru"/>
    <x v="1"/>
    <x v="13"/>
    <n v="2"/>
    <n v="305.48"/>
    <n v="0"/>
    <n v="610.96"/>
    <n v="539.48"/>
    <n v="71.48"/>
    <x v="1"/>
    <n v="5"/>
    <x v="12"/>
  </r>
  <r>
    <s v="ORD10107"/>
    <d v="2025-05-11T00:00:00"/>
    <x v="0"/>
    <s v="Bengal"/>
    <s v="Kolkata"/>
    <x v="2"/>
    <x v="11"/>
    <n v="2"/>
    <n v="9147.25"/>
    <n v="0.1"/>
    <n v="16465.05"/>
    <n v="14472.78"/>
    <n v="1992.27"/>
    <x v="1"/>
    <n v="5"/>
    <x v="12"/>
  </r>
  <r>
    <s v="ORD10108"/>
    <d v="2024-04-05T00:00:00"/>
    <x v="2"/>
    <s v="Maharashtra"/>
    <s v="Pune"/>
    <x v="0"/>
    <x v="0"/>
    <n v="1"/>
    <n v="41374.910000000003"/>
    <n v="0"/>
    <n v="41374.910000000003"/>
    <n v="30038.18"/>
    <n v="11336.73"/>
    <x v="0"/>
    <n v="4"/>
    <x v="0"/>
  </r>
  <r>
    <s v="ORD10109"/>
    <d v="2025-06-05T00:00:00"/>
    <x v="4"/>
    <s v="Chhattisgarh"/>
    <s v="Bilaspur"/>
    <x v="1"/>
    <x v="9"/>
    <n v="1"/>
    <n v="940.73"/>
    <n v="0.05"/>
    <n v="893.69"/>
    <n v="621.11"/>
    <n v="272.58"/>
    <x v="1"/>
    <n v="6"/>
    <x v="17"/>
  </r>
  <r>
    <s v="ORD10110"/>
    <d v="2025-06-04T00:00:00"/>
    <x v="2"/>
    <s v="Maharashtra"/>
    <s v="Pune"/>
    <x v="1"/>
    <x v="3"/>
    <n v="2"/>
    <n v="1871.78"/>
    <n v="0"/>
    <n v="3743.56"/>
    <n v="2919.98"/>
    <n v="823.58"/>
    <x v="1"/>
    <n v="6"/>
    <x v="17"/>
  </r>
  <r>
    <s v="ORD10111"/>
    <d v="2024-01-03T00:00:00"/>
    <x v="4"/>
    <s v="Chhattisgarh"/>
    <s v="Bilaspur"/>
    <x v="0"/>
    <x v="2"/>
    <n v="1"/>
    <n v="44470.7"/>
    <n v="0"/>
    <n v="44470.7"/>
    <n v="37355.39"/>
    <n v="7115.31"/>
    <x v="0"/>
    <n v="1"/>
    <x v="2"/>
  </r>
  <r>
    <s v="ORD10112"/>
    <d v="2025-07-19T00:00:00"/>
    <x v="1"/>
    <s v="Uttar Pradesh"/>
    <s v="Kanpur"/>
    <x v="1"/>
    <x v="9"/>
    <n v="1"/>
    <n v="1962.51"/>
    <n v="0"/>
    <n v="1962.51"/>
    <n v="1721.12"/>
    <n v="241.39"/>
    <x v="1"/>
    <n v="7"/>
    <x v="1"/>
  </r>
  <r>
    <s v="ORD10113"/>
    <d v="2025-01-27T00:00:00"/>
    <x v="2"/>
    <s v="Goa"/>
    <s v="Panaji"/>
    <x v="1"/>
    <x v="12"/>
    <n v="5"/>
    <n v="1425.19"/>
    <n v="0"/>
    <n v="7125.95"/>
    <n v="5928.79"/>
    <n v="1197.1600000000001"/>
    <x v="1"/>
    <n v="1"/>
    <x v="5"/>
  </r>
  <r>
    <s v="ORD10114"/>
    <d v="2025-01-30T00:00:00"/>
    <x v="2"/>
    <s v="Goa"/>
    <s v="Panaji"/>
    <x v="0"/>
    <x v="5"/>
    <n v="3"/>
    <n v="77332.23"/>
    <n v="0"/>
    <n v="231996.69"/>
    <n v="176549.48"/>
    <n v="55447.21"/>
    <x v="1"/>
    <n v="1"/>
    <x v="5"/>
  </r>
  <r>
    <s v="ORD10115"/>
    <d v="2024-04-12T00:00:00"/>
    <x v="3"/>
    <s v="Karnataka"/>
    <s v="Mysuru"/>
    <x v="0"/>
    <x v="0"/>
    <n v="2"/>
    <n v="34568.35"/>
    <n v="0"/>
    <n v="69136.7"/>
    <n v="55240.22"/>
    <n v="13896.48"/>
    <x v="0"/>
    <n v="4"/>
    <x v="0"/>
  </r>
  <r>
    <s v="ORD10116"/>
    <d v="2024-06-07T00:00:00"/>
    <x v="0"/>
    <s v="Jharkhand"/>
    <s v="Jamshedpur"/>
    <x v="1"/>
    <x v="13"/>
    <n v="1"/>
    <n v="1400.77"/>
    <n v="0"/>
    <n v="1400.77"/>
    <n v="1123.42"/>
    <n v="277.35000000000002"/>
    <x v="0"/>
    <n v="6"/>
    <x v="18"/>
  </r>
  <r>
    <s v="ORD10117"/>
    <d v="2024-12-02T00:00:00"/>
    <x v="1"/>
    <s v="Uttar Pradesh"/>
    <s v="Kanpur"/>
    <x v="2"/>
    <x v="7"/>
    <n v="1"/>
    <n v="22064.81"/>
    <n v="0.05"/>
    <n v="20961.57"/>
    <n v="15364.83"/>
    <n v="5596.74"/>
    <x v="0"/>
    <n v="12"/>
    <x v="3"/>
  </r>
  <r>
    <s v="ORD10118"/>
    <d v="2024-08-28T00:00:00"/>
    <x v="4"/>
    <s v="Madhya Pradesh"/>
    <s v="Bhopal"/>
    <x v="1"/>
    <x v="14"/>
    <n v="1"/>
    <n v="1532.72"/>
    <n v="0"/>
    <n v="1532.72"/>
    <n v="1445.35"/>
    <n v="87.37"/>
    <x v="0"/>
    <n v="8"/>
    <x v="6"/>
  </r>
  <r>
    <s v="ORD10119"/>
    <d v="2024-04-12T00:00:00"/>
    <x v="3"/>
    <s v="Tamil Nadu"/>
    <s v="Coimbatore"/>
    <x v="0"/>
    <x v="1"/>
    <n v="1"/>
    <n v="27976.85"/>
    <n v="0.1"/>
    <n v="25179.17"/>
    <n v="22585.72"/>
    <n v="2593.4499999999998"/>
    <x v="0"/>
    <n v="4"/>
    <x v="0"/>
  </r>
  <r>
    <s v="ORD10120"/>
    <d v="2025-01-18T00:00:00"/>
    <x v="3"/>
    <s v="Tamil Nadu"/>
    <s v="Chennai"/>
    <x v="2"/>
    <x v="7"/>
    <n v="4"/>
    <n v="15016.35"/>
    <n v="0"/>
    <n v="60065.4"/>
    <n v="39883.43"/>
    <n v="20181.97"/>
    <x v="1"/>
    <n v="1"/>
    <x v="5"/>
  </r>
  <r>
    <s v="ORD10121"/>
    <d v="2024-06-23T00:00:00"/>
    <x v="2"/>
    <s v="Maharashtra"/>
    <s v="Pune"/>
    <x v="2"/>
    <x v="11"/>
    <n v="3"/>
    <n v="13446.35"/>
    <n v="0"/>
    <n v="40339.050000000003"/>
    <n v="33844.46"/>
    <n v="6494.59"/>
    <x v="0"/>
    <n v="6"/>
    <x v="18"/>
  </r>
  <r>
    <s v="ORD10122"/>
    <d v="2024-08-25T00:00:00"/>
    <x v="3"/>
    <s v="Kerala"/>
    <s v="Thiruvananthapuram"/>
    <x v="1"/>
    <x v="14"/>
    <n v="1"/>
    <n v="1802.87"/>
    <n v="0"/>
    <n v="1802.87"/>
    <n v="1211.53"/>
    <n v="591.34"/>
    <x v="0"/>
    <n v="8"/>
    <x v="6"/>
  </r>
  <r>
    <s v="ORD10123"/>
    <d v="2024-10-21T00:00:00"/>
    <x v="1"/>
    <s v="Punjab"/>
    <s v="Amritsar"/>
    <x v="1"/>
    <x v="3"/>
    <n v="1"/>
    <n v="1975.92"/>
    <n v="0"/>
    <n v="1975.92"/>
    <n v="1304.1099999999999"/>
    <n v="671.81"/>
    <x v="0"/>
    <n v="10"/>
    <x v="19"/>
  </r>
  <r>
    <s v="ORD10124"/>
    <d v="2025-03-10T00:00:00"/>
    <x v="4"/>
    <s v="Chhattisgarh"/>
    <s v="Bilaspur"/>
    <x v="0"/>
    <x v="2"/>
    <n v="4"/>
    <n v="68706.83"/>
    <n v="0.1"/>
    <n v="247344.59"/>
    <n v="171657.15"/>
    <n v="75687.44"/>
    <x v="1"/>
    <n v="3"/>
    <x v="10"/>
  </r>
  <r>
    <s v="ORD10125"/>
    <d v="2025-08-08T00:00:00"/>
    <x v="4"/>
    <s v="Chhattisgarh"/>
    <s v="Bilaspur"/>
    <x v="0"/>
    <x v="2"/>
    <n v="1"/>
    <n v="24134.99"/>
    <n v="0"/>
    <n v="24134.99"/>
    <n v="20128.580000000002"/>
    <n v="4006.41"/>
    <x v="1"/>
    <n v="8"/>
    <x v="15"/>
  </r>
  <r>
    <s v="ORD10126"/>
    <d v="2024-02-20T00:00:00"/>
    <x v="1"/>
    <s v="Uttar Pradesh"/>
    <s v="Kanpur"/>
    <x v="0"/>
    <x v="5"/>
    <n v="3"/>
    <n v="64748.76"/>
    <n v="0"/>
    <n v="194246.28"/>
    <n v="166080.57"/>
    <n v="28165.71"/>
    <x v="0"/>
    <n v="2"/>
    <x v="4"/>
  </r>
  <r>
    <s v="ORD10127"/>
    <d v="2024-07-13T00:00:00"/>
    <x v="1"/>
    <s v="Haryana"/>
    <s v="Gurugram"/>
    <x v="2"/>
    <x v="8"/>
    <n v="1"/>
    <n v="22778.29"/>
    <n v="0"/>
    <n v="22778.29"/>
    <n v="17835.400000000001"/>
    <n v="4942.8900000000003"/>
    <x v="0"/>
    <n v="7"/>
    <x v="11"/>
  </r>
  <r>
    <s v="ORD10128"/>
    <d v="2024-11-12T00:00:00"/>
    <x v="3"/>
    <s v="Karnataka"/>
    <s v="Mysuru"/>
    <x v="2"/>
    <x v="11"/>
    <n v="4"/>
    <n v="4073.07"/>
    <n v="0"/>
    <n v="16292.28"/>
    <n v="12072.58"/>
    <n v="4219.7"/>
    <x v="0"/>
    <n v="11"/>
    <x v="14"/>
  </r>
  <r>
    <s v="ORD10129"/>
    <d v="2025-03-01T00:00:00"/>
    <x v="2"/>
    <s v="Maharashtra"/>
    <s v="Mumbai"/>
    <x v="2"/>
    <x v="6"/>
    <n v="1"/>
    <n v="14209.6"/>
    <n v="0"/>
    <n v="14209.6"/>
    <n v="13087.04"/>
    <n v="1122.56"/>
    <x v="1"/>
    <n v="3"/>
    <x v="10"/>
  </r>
  <r>
    <s v="ORD10130"/>
    <d v="2024-06-17T00:00:00"/>
    <x v="4"/>
    <s v="Chhattisgarh"/>
    <s v="Bilaspur"/>
    <x v="2"/>
    <x v="6"/>
    <n v="1"/>
    <n v="20497.349999999999"/>
    <n v="0"/>
    <n v="20497.349999999999"/>
    <n v="13384.77"/>
    <n v="7112.58"/>
    <x v="0"/>
    <n v="6"/>
    <x v="18"/>
  </r>
  <r>
    <s v="ORD10131"/>
    <d v="2024-03-18T00:00:00"/>
    <x v="2"/>
    <s v="Maharashtra"/>
    <s v="Pune"/>
    <x v="2"/>
    <x v="6"/>
    <n v="1"/>
    <n v="4076.97"/>
    <n v="0"/>
    <n v="4076.97"/>
    <n v="3241.19"/>
    <n v="835.78"/>
    <x v="0"/>
    <n v="3"/>
    <x v="13"/>
  </r>
  <r>
    <s v="ORD10132"/>
    <d v="2024-09-27T00:00:00"/>
    <x v="1"/>
    <s v="Delhi"/>
    <s v="New Delhi"/>
    <x v="1"/>
    <x v="3"/>
    <n v="3"/>
    <n v="1189.8900000000001"/>
    <n v="0"/>
    <n v="3569.67"/>
    <n v="2598.7199999999998"/>
    <n v="970.95"/>
    <x v="0"/>
    <n v="9"/>
    <x v="7"/>
  </r>
  <r>
    <s v="ORD10133"/>
    <d v="2025-01-15T00:00:00"/>
    <x v="0"/>
    <s v="Assam"/>
    <s v="Dibrugarh"/>
    <x v="0"/>
    <x v="5"/>
    <n v="2"/>
    <n v="71086.080000000002"/>
    <n v="0"/>
    <n v="142172.16"/>
    <n v="105065.23"/>
    <n v="37106.93"/>
    <x v="1"/>
    <n v="1"/>
    <x v="5"/>
  </r>
  <r>
    <s v="ORD10134"/>
    <d v="2024-08-14T00:00:00"/>
    <x v="0"/>
    <s v="Jharkhand"/>
    <s v="Jamshedpur"/>
    <x v="2"/>
    <x v="7"/>
    <n v="1"/>
    <n v="4683.55"/>
    <n v="0.05"/>
    <n v="4449.37"/>
    <n v="3835.36"/>
    <n v="614.01"/>
    <x v="0"/>
    <n v="8"/>
    <x v="6"/>
  </r>
  <r>
    <s v="ORD10135"/>
    <d v="2024-11-07T00:00:00"/>
    <x v="3"/>
    <s v="Karnataka"/>
    <s v="Bengaluru"/>
    <x v="0"/>
    <x v="5"/>
    <n v="2"/>
    <n v="13446.13"/>
    <n v="0"/>
    <n v="26892.26"/>
    <n v="19012.830000000002"/>
    <n v="7879.43"/>
    <x v="0"/>
    <n v="11"/>
    <x v="14"/>
  </r>
  <r>
    <s v="ORD10136"/>
    <d v="2025-07-07T00:00:00"/>
    <x v="3"/>
    <s v="Tamil Nadu"/>
    <s v="Coimbatore"/>
    <x v="2"/>
    <x v="8"/>
    <n v="3"/>
    <n v="21174.94"/>
    <n v="0"/>
    <n v="63524.82"/>
    <n v="42942.78"/>
    <n v="20582.04"/>
    <x v="1"/>
    <n v="7"/>
    <x v="1"/>
  </r>
  <r>
    <s v="ORD10137"/>
    <d v="2024-10-13T00:00:00"/>
    <x v="0"/>
    <s v="Odisha"/>
    <s v="Bhubaneswar"/>
    <x v="1"/>
    <x v="12"/>
    <n v="1"/>
    <n v="1903.58"/>
    <n v="0"/>
    <n v="1903.58"/>
    <n v="1522.86"/>
    <n v="380.72"/>
    <x v="0"/>
    <n v="10"/>
    <x v="19"/>
  </r>
  <r>
    <s v="ORD10138"/>
    <d v="2024-04-11T00:00:00"/>
    <x v="4"/>
    <s v="Chhattisgarh"/>
    <s v="Raipur"/>
    <x v="1"/>
    <x v="3"/>
    <n v="2"/>
    <n v="420.13"/>
    <n v="0.1"/>
    <n v="756.23"/>
    <n v="570.95000000000005"/>
    <n v="185.28"/>
    <x v="0"/>
    <n v="4"/>
    <x v="0"/>
  </r>
  <r>
    <s v="ORD10139"/>
    <d v="2024-04-03T00:00:00"/>
    <x v="2"/>
    <s v="Gujarat"/>
    <s v="Ahmedabad"/>
    <x v="0"/>
    <x v="4"/>
    <n v="2"/>
    <n v="21754.81"/>
    <n v="0.15"/>
    <n v="36983.18"/>
    <n v="26295.040000000001"/>
    <n v="10688.14"/>
    <x v="0"/>
    <n v="4"/>
    <x v="0"/>
  </r>
  <r>
    <s v="ORD10140"/>
    <d v="2024-07-29T00:00:00"/>
    <x v="0"/>
    <s v="Assam"/>
    <s v="Guwahati"/>
    <x v="0"/>
    <x v="4"/>
    <n v="3"/>
    <n v="62626.38"/>
    <n v="0"/>
    <n v="187879.14"/>
    <n v="159509.39000000001"/>
    <n v="28369.75"/>
    <x v="0"/>
    <n v="7"/>
    <x v="11"/>
  </r>
  <r>
    <s v="ORD10141"/>
    <d v="2024-01-03T00:00:00"/>
    <x v="4"/>
    <s v="Madhya Pradesh"/>
    <s v="Bhopal"/>
    <x v="2"/>
    <x v="6"/>
    <n v="1"/>
    <n v="20365.82"/>
    <n v="0.05"/>
    <n v="19347.53"/>
    <n v="17838.419999999998"/>
    <n v="1509.11"/>
    <x v="0"/>
    <n v="1"/>
    <x v="2"/>
  </r>
  <r>
    <s v="ORD10142"/>
    <d v="2024-05-14T00:00:00"/>
    <x v="0"/>
    <s v="Odisha"/>
    <s v="Bhubaneswar"/>
    <x v="2"/>
    <x v="6"/>
    <n v="1"/>
    <n v="2362.96"/>
    <n v="0"/>
    <n v="2362.96"/>
    <n v="2218.8200000000002"/>
    <n v="144.13999999999999"/>
    <x v="0"/>
    <n v="5"/>
    <x v="16"/>
  </r>
  <r>
    <s v="ORD10143"/>
    <d v="2024-05-09T00:00:00"/>
    <x v="3"/>
    <s v="Karnataka"/>
    <s v="Bengaluru"/>
    <x v="1"/>
    <x v="12"/>
    <n v="1"/>
    <n v="1567.13"/>
    <n v="0"/>
    <n v="1567.13"/>
    <n v="1233.33"/>
    <n v="333.8"/>
    <x v="0"/>
    <n v="5"/>
    <x v="16"/>
  </r>
  <r>
    <s v="ORD10144"/>
    <d v="2024-04-21T00:00:00"/>
    <x v="3"/>
    <s v="Tamil Nadu"/>
    <s v="Chennai"/>
    <x v="2"/>
    <x v="10"/>
    <n v="1"/>
    <n v="8937.5"/>
    <n v="0"/>
    <n v="8937.5"/>
    <n v="6908.69"/>
    <n v="2028.81"/>
    <x v="0"/>
    <n v="4"/>
    <x v="0"/>
  </r>
  <r>
    <s v="ORD10145"/>
    <d v="2024-02-01T00:00:00"/>
    <x v="0"/>
    <s v="Jharkhand"/>
    <s v="Jamshedpur"/>
    <x v="1"/>
    <x v="14"/>
    <n v="1"/>
    <n v="1006.02"/>
    <n v="0"/>
    <n v="1006.02"/>
    <n v="944.65"/>
    <n v="61.37"/>
    <x v="0"/>
    <n v="2"/>
    <x v="4"/>
  </r>
  <r>
    <s v="ORD10146"/>
    <d v="2024-03-16T00:00:00"/>
    <x v="0"/>
    <s v="Odisha"/>
    <s v="Bhubaneswar"/>
    <x v="0"/>
    <x v="0"/>
    <n v="2"/>
    <n v="24176.23"/>
    <n v="0"/>
    <n v="48352.46"/>
    <n v="40712.769999999997"/>
    <n v="7639.69"/>
    <x v="0"/>
    <n v="3"/>
    <x v="13"/>
  </r>
  <r>
    <s v="ORD10147"/>
    <d v="2025-07-15T00:00:00"/>
    <x v="4"/>
    <s v="Chhattisgarh"/>
    <s v="Bilaspur"/>
    <x v="1"/>
    <x v="13"/>
    <n v="1"/>
    <n v="1230.58"/>
    <n v="0.15"/>
    <n v="1045.99"/>
    <n v="829.47"/>
    <n v="216.52"/>
    <x v="1"/>
    <n v="7"/>
    <x v="1"/>
  </r>
  <r>
    <s v="ORD10148"/>
    <d v="2024-04-27T00:00:00"/>
    <x v="1"/>
    <s v="Punjab"/>
    <s v="Ludhiana"/>
    <x v="1"/>
    <x v="9"/>
    <n v="2"/>
    <n v="856.94"/>
    <n v="0"/>
    <n v="1713.88"/>
    <n v="1516.78"/>
    <n v="197.1"/>
    <x v="0"/>
    <n v="4"/>
    <x v="0"/>
  </r>
  <r>
    <s v="ORD10149"/>
    <d v="2025-02-12T00:00:00"/>
    <x v="3"/>
    <s v="Karnataka"/>
    <s v="Mysuru"/>
    <x v="1"/>
    <x v="3"/>
    <n v="1"/>
    <n v="1346.96"/>
    <n v="0"/>
    <n v="1346.96"/>
    <n v="1244.5899999999999"/>
    <n v="102.37"/>
    <x v="1"/>
    <n v="2"/>
    <x v="8"/>
  </r>
  <r>
    <s v="ORD10150"/>
    <d v="2024-06-05T00:00:00"/>
    <x v="3"/>
    <s v="Karnataka"/>
    <s v="Bengaluru"/>
    <x v="0"/>
    <x v="1"/>
    <n v="1"/>
    <n v="36254.49"/>
    <n v="0"/>
    <n v="36254.49"/>
    <n v="28677.3"/>
    <n v="7577.19"/>
    <x v="0"/>
    <n v="6"/>
    <x v="18"/>
  </r>
  <r>
    <s v="ORD10151"/>
    <d v="2025-01-16T00:00:00"/>
    <x v="2"/>
    <s v="Gujarat"/>
    <s v="Ahmedabad"/>
    <x v="2"/>
    <x v="10"/>
    <n v="1"/>
    <n v="14918.72"/>
    <n v="0"/>
    <n v="14918.72"/>
    <n v="11323.31"/>
    <n v="3595.41"/>
    <x v="1"/>
    <n v="1"/>
    <x v="5"/>
  </r>
  <r>
    <s v="ORD10152"/>
    <d v="2025-02-24T00:00:00"/>
    <x v="4"/>
    <s v="Chhattisgarh"/>
    <s v="Raipur"/>
    <x v="1"/>
    <x v="13"/>
    <n v="2"/>
    <n v="659.28"/>
    <n v="0.15"/>
    <n v="1120.78"/>
    <n v="736.35"/>
    <n v="384.43"/>
    <x v="1"/>
    <n v="2"/>
    <x v="8"/>
  </r>
  <r>
    <s v="ORD10153"/>
    <d v="2024-08-05T00:00:00"/>
    <x v="2"/>
    <s v="Gujarat"/>
    <s v="Surat"/>
    <x v="0"/>
    <x v="1"/>
    <n v="1"/>
    <n v="29958.78"/>
    <n v="0"/>
    <n v="29958.78"/>
    <n v="25554.84"/>
    <n v="4403.9399999999996"/>
    <x v="0"/>
    <n v="8"/>
    <x v="6"/>
  </r>
  <r>
    <s v="ORD10154"/>
    <d v="2024-04-27T00:00:00"/>
    <x v="4"/>
    <s v="Madhya Pradesh"/>
    <s v="Indore"/>
    <x v="2"/>
    <x v="10"/>
    <n v="2"/>
    <n v="16112.19"/>
    <n v="0"/>
    <n v="32224.38"/>
    <n v="28002.99"/>
    <n v="4221.3900000000003"/>
    <x v="0"/>
    <n v="4"/>
    <x v="0"/>
  </r>
  <r>
    <s v="ORD10155"/>
    <d v="2024-01-27T00:00:00"/>
    <x v="1"/>
    <s v="Haryana"/>
    <s v="Gurugram"/>
    <x v="0"/>
    <x v="4"/>
    <n v="1"/>
    <n v="57107.81"/>
    <n v="0"/>
    <n v="57107.81"/>
    <n v="52881.83"/>
    <n v="4225.9799999999996"/>
    <x v="0"/>
    <n v="1"/>
    <x v="2"/>
  </r>
  <r>
    <s v="ORD10156"/>
    <d v="2024-12-13T00:00:00"/>
    <x v="4"/>
    <s v="Madhya Pradesh"/>
    <s v="Bhopal"/>
    <x v="0"/>
    <x v="5"/>
    <n v="1"/>
    <n v="53615.54"/>
    <n v="0.15"/>
    <n v="45573.21"/>
    <n v="30123.89"/>
    <n v="15449.32"/>
    <x v="0"/>
    <n v="12"/>
    <x v="3"/>
  </r>
  <r>
    <s v="ORD10157"/>
    <d v="2024-02-01T00:00:00"/>
    <x v="0"/>
    <s v="Assam"/>
    <s v="Dibrugarh"/>
    <x v="1"/>
    <x v="12"/>
    <n v="2"/>
    <n v="714.75"/>
    <n v="0"/>
    <n v="1429.5"/>
    <n v="1059.26"/>
    <n v="370.24"/>
    <x v="0"/>
    <n v="2"/>
    <x v="4"/>
  </r>
  <r>
    <s v="ORD10158"/>
    <d v="2024-11-28T00:00:00"/>
    <x v="1"/>
    <s v="Delhi"/>
    <s v="New Delhi"/>
    <x v="0"/>
    <x v="0"/>
    <n v="1"/>
    <n v="61091.56"/>
    <n v="0.05"/>
    <n v="58036.98"/>
    <n v="52117.21"/>
    <n v="5919.77"/>
    <x v="0"/>
    <n v="11"/>
    <x v="14"/>
  </r>
  <r>
    <s v="ORD10159"/>
    <d v="2024-10-05T00:00:00"/>
    <x v="3"/>
    <s v="Andhra Pradesh"/>
    <s v="Visakhapatnam"/>
    <x v="2"/>
    <x v="7"/>
    <n v="1"/>
    <n v="11526.23"/>
    <n v="0"/>
    <n v="11526.23"/>
    <n v="10085.450000000001"/>
    <n v="1440.78"/>
    <x v="0"/>
    <n v="10"/>
    <x v="19"/>
  </r>
  <r>
    <s v="ORD10160"/>
    <d v="2025-06-08T00:00:00"/>
    <x v="0"/>
    <s v="Odisha"/>
    <s v="Cuttack"/>
    <x v="0"/>
    <x v="4"/>
    <n v="1"/>
    <n v="55222.78"/>
    <n v="0"/>
    <n v="55222.78"/>
    <n v="40643.97"/>
    <n v="14578.81"/>
    <x v="1"/>
    <n v="6"/>
    <x v="17"/>
  </r>
  <r>
    <s v="ORD10161"/>
    <d v="2025-06-23T00:00:00"/>
    <x v="4"/>
    <s v="Madhya Pradesh"/>
    <s v="Bhopal"/>
    <x v="1"/>
    <x v="13"/>
    <n v="2"/>
    <n v="156.82"/>
    <n v="0"/>
    <n v="313.64"/>
    <n v="271.61"/>
    <n v="42.03"/>
    <x v="1"/>
    <n v="6"/>
    <x v="17"/>
  </r>
  <r>
    <s v="ORD10162"/>
    <d v="2024-08-04T00:00:00"/>
    <x v="2"/>
    <s v="Goa"/>
    <s v="Margao"/>
    <x v="1"/>
    <x v="14"/>
    <n v="4"/>
    <n v="65.069999999999993"/>
    <n v="0"/>
    <n v="260.27999999999997"/>
    <n v="189.74"/>
    <n v="70.540000000000006"/>
    <x v="0"/>
    <n v="8"/>
    <x v="6"/>
  </r>
  <r>
    <s v="ORD10163"/>
    <d v="2024-06-28T00:00:00"/>
    <x v="2"/>
    <s v="Goa"/>
    <s v="Panaji"/>
    <x v="2"/>
    <x v="10"/>
    <n v="1"/>
    <n v="21167.15"/>
    <n v="0"/>
    <n v="21167.15"/>
    <n v="16214.04"/>
    <n v="4953.1099999999997"/>
    <x v="0"/>
    <n v="6"/>
    <x v="18"/>
  </r>
  <r>
    <s v="ORD10164"/>
    <d v="2024-03-14T00:00:00"/>
    <x v="3"/>
    <s v="Karnataka"/>
    <s v="Mysuru"/>
    <x v="0"/>
    <x v="2"/>
    <n v="1"/>
    <n v="73929.509999999995"/>
    <n v="0"/>
    <n v="73929.509999999995"/>
    <n v="64762.25"/>
    <n v="9167.26"/>
    <x v="0"/>
    <n v="3"/>
    <x v="13"/>
  </r>
  <r>
    <s v="ORD10165"/>
    <d v="2025-08-12T00:00:00"/>
    <x v="3"/>
    <s v="Andhra Pradesh"/>
    <s v="Visakhapatnam"/>
    <x v="1"/>
    <x v="14"/>
    <n v="1"/>
    <n v="839.81"/>
    <n v="0"/>
    <n v="839.81"/>
    <n v="607.17999999999995"/>
    <n v="232.63"/>
    <x v="1"/>
    <n v="8"/>
    <x v="15"/>
  </r>
  <r>
    <s v="ORD10166"/>
    <d v="2024-06-24T00:00:00"/>
    <x v="1"/>
    <s v="Uttar Pradesh"/>
    <s v="Kanpur"/>
    <x v="0"/>
    <x v="2"/>
    <n v="1"/>
    <n v="68025.3"/>
    <n v="0"/>
    <n v="68025.3"/>
    <n v="62243.15"/>
    <n v="5782.15"/>
    <x v="0"/>
    <n v="6"/>
    <x v="18"/>
  </r>
  <r>
    <s v="ORD10167"/>
    <d v="2025-08-26T00:00:00"/>
    <x v="3"/>
    <s v="Karnataka"/>
    <s v="Mysuru"/>
    <x v="1"/>
    <x v="3"/>
    <n v="1"/>
    <n v="482.07"/>
    <n v="0"/>
    <n v="482.07"/>
    <n v="452.18"/>
    <n v="29.89"/>
    <x v="1"/>
    <n v="8"/>
    <x v="15"/>
  </r>
  <r>
    <s v="ORD10168"/>
    <d v="2024-03-19T00:00:00"/>
    <x v="1"/>
    <s v="Delhi"/>
    <s v="New Delhi"/>
    <x v="1"/>
    <x v="3"/>
    <n v="3"/>
    <n v="1468.39"/>
    <n v="0"/>
    <n v="4405.17"/>
    <n v="3255.42"/>
    <n v="1149.75"/>
    <x v="0"/>
    <n v="3"/>
    <x v="13"/>
  </r>
  <r>
    <s v="ORD10169"/>
    <d v="2024-05-31T00:00:00"/>
    <x v="2"/>
    <s v="Maharashtra"/>
    <s v="Mumbai"/>
    <x v="1"/>
    <x v="9"/>
    <n v="1"/>
    <n v="388.32"/>
    <n v="0.15"/>
    <n v="330.07"/>
    <n v="303.99"/>
    <n v="26.08"/>
    <x v="0"/>
    <n v="5"/>
    <x v="16"/>
  </r>
  <r>
    <s v="ORD10170"/>
    <d v="2024-03-18T00:00:00"/>
    <x v="2"/>
    <s v="Gujarat"/>
    <s v="Surat"/>
    <x v="1"/>
    <x v="13"/>
    <n v="1"/>
    <n v="1531.76"/>
    <n v="0"/>
    <n v="1531.76"/>
    <n v="1237.6600000000001"/>
    <n v="294.10000000000002"/>
    <x v="0"/>
    <n v="3"/>
    <x v="13"/>
  </r>
  <r>
    <s v="ORD10171"/>
    <d v="2025-08-01T00:00:00"/>
    <x v="1"/>
    <s v="Haryana"/>
    <s v="Faridabad"/>
    <x v="0"/>
    <x v="2"/>
    <n v="1"/>
    <n v="8258.0400000000009"/>
    <n v="0"/>
    <n v="8258.0400000000009"/>
    <n v="6771.59"/>
    <n v="1486.45"/>
    <x v="1"/>
    <n v="8"/>
    <x v="15"/>
  </r>
  <r>
    <s v="ORD10172"/>
    <d v="2024-11-06T00:00:00"/>
    <x v="4"/>
    <s v="Madhya Pradesh"/>
    <s v="Indore"/>
    <x v="2"/>
    <x v="8"/>
    <n v="1"/>
    <n v="9139.3799999999992"/>
    <n v="0"/>
    <n v="9139.3799999999992"/>
    <n v="6991.63"/>
    <n v="2147.75"/>
    <x v="0"/>
    <n v="11"/>
    <x v="14"/>
  </r>
  <r>
    <s v="ORD10173"/>
    <d v="2024-02-28T00:00:00"/>
    <x v="4"/>
    <s v="Chhattisgarh"/>
    <s v="Raipur"/>
    <x v="2"/>
    <x v="8"/>
    <n v="1"/>
    <n v="16145.19"/>
    <n v="0"/>
    <n v="16145.19"/>
    <n v="15111.9"/>
    <n v="1033.29"/>
    <x v="0"/>
    <n v="2"/>
    <x v="4"/>
  </r>
  <r>
    <s v="ORD10174"/>
    <d v="2025-04-18T00:00:00"/>
    <x v="1"/>
    <s v="Delhi"/>
    <s v="New Delhi"/>
    <x v="2"/>
    <x v="11"/>
    <n v="1"/>
    <n v="9395.1200000000008"/>
    <n v="0"/>
    <n v="9395.1200000000008"/>
    <n v="7159.08"/>
    <n v="2236.04"/>
    <x v="1"/>
    <n v="4"/>
    <x v="9"/>
  </r>
  <r>
    <s v="ORD10175"/>
    <d v="2024-06-03T00:00:00"/>
    <x v="0"/>
    <s v="Jharkhand"/>
    <s v="Ranchi"/>
    <x v="1"/>
    <x v="14"/>
    <n v="1"/>
    <n v="1033.8699999999999"/>
    <n v="0.05"/>
    <n v="982.18"/>
    <n v="680.65"/>
    <n v="301.52999999999997"/>
    <x v="0"/>
    <n v="6"/>
    <x v="18"/>
  </r>
  <r>
    <s v="ORD10176"/>
    <d v="2025-03-24T00:00:00"/>
    <x v="3"/>
    <s v="Tamil Nadu"/>
    <s v="Coimbatore"/>
    <x v="1"/>
    <x v="3"/>
    <n v="2"/>
    <n v="805.46"/>
    <n v="0"/>
    <n v="1610.92"/>
    <n v="1451.44"/>
    <n v="159.47999999999999"/>
    <x v="1"/>
    <n v="3"/>
    <x v="10"/>
  </r>
  <r>
    <s v="ORD10177"/>
    <d v="2024-02-23T00:00:00"/>
    <x v="4"/>
    <s v="Madhya Pradesh"/>
    <s v="Indore"/>
    <x v="0"/>
    <x v="5"/>
    <n v="1"/>
    <n v="55235.21"/>
    <n v="0"/>
    <n v="55235.21"/>
    <n v="41813.050000000003"/>
    <n v="13422.16"/>
    <x v="0"/>
    <n v="2"/>
    <x v="4"/>
  </r>
  <r>
    <s v="ORD10178"/>
    <d v="2024-06-02T00:00:00"/>
    <x v="4"/>
    <s v="Madhya Pradesh"/>
    <s v="Bhopal"/>
    <x v="1"/>
    <x v="3"/>
    <n v="1"/>
    <n v="1937.01"/>
    <n v="0"/>
    <n v="1937.01"/>
    <n v="1499.25"/>
    <n v="437.76"/>
    <x v="0"/>
    <n v="6"/>
    <x v="18"/>
  </r>
  <r>
    <s v="ORD10179"/>
    <d v="2025-02-05T00:00:00"/>
    <x v="2"/>
    <s v="Gujarat"/>
    <s v="Ahmedabad"/>
    <x v="1"/>
    <x v="13"/>
    <n v="4"/>
    <n v="784.52"/>
    <n v="0"/>
    <n v="3138.08"/>
    <n v="2438.29"/>
    <n v="699.79"/>
    <x v="1"/>
    <n v="2"/>
    <x v="8"/>
  </r>
  <r>
    <s v="ORD10180"/>
    <d v="2024-05-10T00:00:00"/>
    <x v="1"/>
    <s v="Delhi"/>
    <s v="New Delhi"/>
    <x v="2"/>
    <x v="6"/>
    <n v="1"/>
    <n v="2419.3000000000002"/>
    <n v="0"/>
    <n v="2419.3000000000002"/>
    <n v="1831.41"/>
    <n v="587.89"/>
    <x v="0"/>
    <n v="5"/>
    <x v="16"/>
  </r>
  <r>
    <s v="ORD10181"/>
    <d v="2024-08-07T00:00:00"/>
    <x v="4"/>
    <s v="Chhattisgarh"/>
    <s v="Raipur"/>
    <x v="0"/>
    <x v="0"/>
    <n v="1"/>
    <n v="14930.78"/>
    <n v="0"/>
    <n v="14930.78"/>
    <n v="11735.59"/>
    <n v="3195.19"/>
    <x v="0"/>
    <n v="8"/>
    <x v="6"/>
  </r>
  <r>
    <s v="ORD10182"/>
    <d v="2024-04-13T00:00:00"/>
    <x v="1"/>
    <s v="Delhi"/>
    <s v="New Delhi"/>
    <x v="2"/>
    <x v="11"/>
    <n v="4"/>
    <n v="15736.67"/>
    <n v="0.05"/>
    <n v="59799.35"/>
    <n v="49872.66"/>
    <n v="9926.69"/>
    <x v="0"/>
    <n v="4"/>
    <x v="0"/>
  </r>
  <r>
    <s v="ORD10183"/>
    <d v="2024-06-18T00:00:00"/>
    <x v="3"/>
    <s v="Karnataka"/>
    <s v="Mysuru"/>
    <x v="1"/>
    <x v="9"/>
    <n v="4"/>
    <n v="1940.7"/>
    <n v="0"/>
    <n v="7762.8"/>
    <n v="5263.18"/>
    <n v="2499.62"/>
    <x v="0"/>
    <n v="6"/>
    <x v="18"/>
  </r>
  <r>
    <s v="ORD10184"/>
    <d v="2025-04-04T00:00:00"/>
    <x v="2"/>
    <s v="Gujarat"/>
    <s v="Ahmedabad"/>
    <x v="1"/>
    <x v="12"/>
    <n v="1"/>
    <n v="1812.75"/>
    <n v="0.15"/>
    <n v="1540.84"/>
    <n v="1431.44"/>
    <n v="109.4"/>
    <x v="1"/>
    <n v="4"/>
    <x v="9"/>
  </r>
  <r>
    <s v="ORD10185"/>
    <d v="2025-08-07T00:00:00"/>
    <x v="3"/>
    <s v="Andhra Pradesh"/>
    <s v="Visakhapatnam"/>
    <x v="1"/>
    <x v="13"/>
    <n v="1"/>
    <n v="1078.55"/>
    <n v="0"/>
    <n v="1078.55"/>
    <n v="1019.23"/>
    <n v="59.32"/>
    <x v="1"/>
    <n v="8"/>
    <x v="15"/>
  </r>
  <r>
    <s v="ORD10186"/>
    <d v="2024-07-23T00:00:00"/>
    <x v="1"/>
    <s v="Punjab"/>
    <s v="Ludhiana"/>
    <x v="0"/>
    <x v="2"/>
    <n v="1"/>
    <n v="70307"/>
    <n v="0"/>
    <n v="70307"/>
    <n v="52378.720000000001"/>
    <n v="17928.28"/>
    <x v="0"/>
    <n v="7"/>
    <x v="11"/>
  </r>
  <r>
    <s v="ORD10187"/>
    <d v="2024-04-15T00:00:00"/>
    <x v="1"/>
    <s v="Delhi"/>
    <s v="New Delhi"/>
    <x v="0"/>
    <x v="0"/>
    <n v="1"/>
    <n v="24004.93"/>
    <n v="0"/>
    <n v="24004.93"/>
    <n v="20500.21"/>
    <n v="3504.72"/>
    <x v="0"/>
    <n v="4"/>
    <x v="0"/>
  </r>
  <r>
    <s v="ORD10188"/>
    <d v="2024-05-30T00:00:00"/>
    <x v="3"/>
    <s v="Karnataka"/>
    <s v="Bengaluru"/>
    <x v="1"/>
    <x v="3"/>
    <n v="2"/>
    <n v="1864.42"/>
    <n v="0"/>
    <n v="3728.84"/>
    <n v="3516.3"/>
    <n v="212.54"/>
    <x v="0"/>
    <n v="5"/>
    <x v="16"/>
  </r>
  <r>
    <s v="ORD10189"/>
    <d v="2025-02-09T00:00:00"/>
    <x v="1"/>
    <s v="Haryana"/>
    <s v="Gurugram"/>
    <x v="1"/>
    <x v="14"/>
    <n v="2"/>
    <n v="781.08"/>
    <n v="0.05"/>
    <n v="1484.05"/>
    <n v="1283.7"/>
    <n v="200.35"/>
    <x v="1"/>
    <n v="2"/>
    <x v="8"/>
  </r>
  <r>
    <s v="ORD10190"/>
    <d v="2024-12-09T00:00:00"/>
    <x v="2"/>
    <s v="Maharashtra"/>
    <s v="Mumbai"/>
    <x v="1"/>
    <x v="12"/>
    <n v="1"/>
    <n v="1407.34"/>
    <n v="0.15"/>
    <n v="1196.24"/>
    <n v="886.41"/>
    <n v="309.83"/>
    <x v="0"/>
    <n v="12"/>
    <x v="3"/>
  </r>
  <r>
    <s v="ORD10191"/>
    <d v="2025-04-25T00:00:00"/>
    <x v="3"/>
    <s v="Karnataka"/>
    <s v="Bengaluru"/>
    <x v="0"/>
    <x v="4"/>
    <n v="1"/>
    <n v="19605.419999999998"/>
    <n v="0.15"/>
    <n v="16664.61"/>
    <n v="11448.59"/>
    <n v="5216.0200000000004"/>
    <x v="1"/>
    <n v="4"/>
    <x v="9"/>
  </r>
  <r>
    <s v="ORD10192"/>
    <d v="2025-06-24T00:00:00"/>
    <x v="3"/>
    <s v="Karnataka"/>
    <s v="Mysuru"/>
    <x v="0"/>
    <x v="4"/>
    <n v="2"/>
    <n v="12382.32"/>
    <n v="0"/>
    <n v="24764.639999999999"/>
    <n v="17558.13"/>
    <n v="7206.51"/>
    <x v="1"/>
    <n v="6"/>
    <x v="17"/>
  </r>
  <r>
    <s v="ORD10193"/>
    <d v="2025-04-13T00:00:00"/>
    <x v="0"/>
    <s v="Bengal"/>
    <s v="Siliguri"/>
    <x v="2"/>
    <x v="10"/>
    <n v="1"/>
    <n v="2378.0100000000002"/>
    <n v="0"/>
    <n v="2378.0100000000002"/>
    <n v="2133.0700000000002"/>
    <n v="244.94"/>
    <x v="1"/>
    <n v="4"/>
    <x v="9"/>
  </r>
  <r>
    <s v="ORD10194"/>
    <d v="2024-09-04T00:00:00"/>
    <x v="2"/>
    <s v="Goa"/>
    <s v="Margao"/>
    <x v="0"/>
    <x v="5"/>
    <n v="2"/>
    <n v="30166.84"/>
    <n v="0"/>
    <n v="60333.68"/>
    <n v="42716.25"/>
    <n v="17617.43"/>
    <x v="0"/>
    <n v="9"/>
    <x v="7"/>
  </r>
  <r>
    <s v="ORD10195"/>
    <d v="2024-07-10T00:00:00"/>
    <x v="0"/>
    <s v="Odisha"/>
    <s v="Bhubaneswar"/>
    <x v="2"/>
    <x v="10"/>
    <n v="5"/>
    <n v="13668.54"/>
    <n v="0"/>
    <n v="68342.7"/>
    <n v="56451.07"/>
    <n v="11891.63"/>
    <x v="0"/>
    <n v="7"/>
    <x v="11"/>
  </r>
  <r>
    <s v="ORD10196"/>
    <d v="2025-07-21T00:00:00"/>
    <x v="0"/>
    <s v="Jharkhand"/>
    <s v="Jamshedpur"/>
    <x v="0"/>
    <x v="2"/>
    <n v="1"/>
    <n v="78540.039999999994"/>
    <n v="0"/>
    <n v="78540.039999999994"/>
    <n v="56313.21"/>
    <n v="22226.83"/>
    <x v="1"/>
    <n v="7"/>
    <x v="1"/>
  </r>
  <r>
    <s v="ORD10197"/>
    <d v="2024-01-17T00:00:00"/>
    <x v="4"/>
    <s v="Madhya Pradesh"/>
    <s v="Indore"/>
    <x v="0"/>
    <x v="1"/>
    <n v="1"/>
    <n v="62405.61"/>
    <n v="0"/>
    <n v="62405.61"/>
    <n v="41874.160000000003"/>
    <n v="20531.45"/>
    <x v="0"/>
    <n v="1"/>
    <x v="2"/>
  </r>
  <r>
    <s v="ORD10198"/>
    <d v="2024-12-06T00:00:00"/>
    <x v="2"/>
    <s v="Maharashtra"/>
    <s v="Pune"/>
    <x v="2"/>
    <x v="6"/>
    <n v="3"/>
    <n v="20710.7"/>
    <n v="0.15"/>
    <n v="52812.29"/>
    <n v="43358.89"/>
    <n v="9453.4"/>
    <x v="0"/>
    <n v="12"/>
    <x v="3"/>
  </r>
  <r>
    <s v="ORD10199"/>
    <d v="2025-04-20T00:00:00"/>
    <x v="3"/>
    <s v="Tamil Nadu"/>
    <s v="Chennai"/>
    <x v="0"/>
    <x v="2"/>
    <n v="2"/>
    <n v="5847.75"/>
    <n v="0"/>
    <n v="11695.5"/>
    <n v="8467.5400000000009"/>
    <n v="3227.96"/>
    <x v="1"/>
    <n v="4"/>
    <x v="9"/>
  </r>
  <r>
    <s v="ORD10200"/>
    <d v="2024-07-23T00:00:00"/>
    <x v="0"/>
    <s v="Odisha"/>
    <s v="Cuttack"/>
    <x v="2"/>
    <x v="7"/>
    <n v="1"/>
    <n v="24749.82"/>
    <n v="0"/>
    <n v="24749.82"/>
    <n v="16805.13"/>
    <n v="7944.69"/>
    <x v="0"/>
    <n v="7"/>
    <x v="11"/>
  </r>
  <r>
    <s v="ORD10201"/>
    <d v="2024-09-16T00:00:00"/>
    <x v="0"/>
    <s v="Assam"/>
    <s v="Dibrugarh"/>
    <x v="1"/>
    <x v="14"/>
    <n v="1"/>
    <n v="1738.31"/>
    <n v="0"/>
    <n v="1738.31"/>
    <n v="1220.29"/>
    <n v="518.02"/>
    <x v="0"/>
    <n v="9"/>
    <x v="7"/>
  </r>
  <r>
    <s v="ORD10202"/>
    <d v="2024-05-07T00:00:00"/>
    <x v="4"/>
    <s v="Chhattisgarh"/>
    <s v="Bilaspur"/>
    <x v="2"/>
    <x v="7"/>
    <n v="1"/>
    <n v="22576.66"/>
    <n v="0"/>
    <n v="22576.66"/>
    <n v="15374.71"/>
    <n v="7201.95"/>
    <x v="0"/>
    <n v="5"/>
    <x v="16"/>
  </r>
  <r>
    <s v="ORD10203"/>
    <d v="2024-07-10T00:00:00"/>
    <x v="3"/>
    <s v="Andhra Pradesh"/>
    <s v="Visakhapatnam"/>
    <x v="2"/>
    <x v="6"/>
    <n v="1"/>
    <n v="20426.41"/>
    <n v="0"/>
    <n v="20426.41"/>
    <n v="19343.810000000001"/>
    <n v="1082.5999999999999"/>
    <x v="0"/>
    <n v="7"/>
    <x v="11"/>
  </r>
  <r>
    <s v="ORD10204"/>
    <d v="2024-03-21T00:00:00"/>
    <x v="3"/>
    <s v="Tamil Nadu"/>
    <s v="Coimbatore"/>
    <x v="1"/>
    <x v="14"/>
    <n v="3"/>
    <n v="206.13"/>
    <n v="0"/>
    <n v="618.39"/>
    <n v="570.77"/>
    <n v="47.62"/>
    <x v="0"/>
    <n v="3"/>
    <x v="13"/>
  </r>
  <r>
    <s v="ORD10205"/>
    <d v="2024-11-09T00:00:00"/>
    <x v="3"/>
    <s v="Andhra Pradesh"/>
    <s v="Vijayawada"/>
    <x v="2"/>
    <x v="7"/>
    <n v="1"/>
    <n v="10085.58"/>
    <n v="0.1"/>
    <n v="9077.02"/>
    <n v="6036.22"/>
    <n v="3040.8"/>
    <x v="0"/>
    <n v="11"/>
    <x v="14"/>
  </r>
  <r>
    <s v="ORD10206"/>
    <d v="2025-03-21T00:00:00"/>
    <x v="4"/>
    <s v="Madhya Pradesh"/>
    <s v="Bhopal"/>
    <x v="2"/>
    <x v="7"/>
    <n v="4"/>
    <n v="10356.16"/>
    <n v="0"/>
    <n v="41424.639999999999"/>
    <n v="32228.37"/>
    <n v="9196.27"/>
    <x v="1"/>
    <n v="3"/>
    <x v="10"/>
  </r>
  <r>
    <s v="ORD10207"/>
    <d v="2024-06-12T00:00:00"/>
    <x v="0"/>
    <s v="Assam"/>
    <s v="Dibrugarh"/>
    <x v="0"/>
    <x v="0"/>
    <n v="1"/>
    <n v="8176.97"/>
    <n v="0"/>
    <n v="8176.97"/>
    <n v="6664.23"/>
    <n v="1512.74"/>
    <x v="0"/>
    <n v="6"/>
    <x v="18"/>
  </r>
  <r>
    <s v="ORD10208"/>
    <d v="2025-01-10T00:00:00"/>
    <x v="4"/>
    <s v="Chhattisgarh"/>
    <s v="Raipur"/>
    <x v="2"/>
    <x v="11"/>
    <n v="1"/>
    <n v="17618.43"/>
    <n v="0"/>
    <n v="17618.43"/>
    <n v="14993.28"/>
    <n v="2625.15"/>
    <x v="1"/>
    <n v="1"/>
    <x v="5"/>
  </r>
  <r>
    <s v="ORD10209"/>
    <d v="2025-01-15T00:00:00"/>
    <x v="3"/>
    <s v="Karnataka"/>
    <s v="Bengaluru"/>
    <x v="2"/>
    <x v="6"/>
    <n v="2"/>
    <n v="11154.78"/>
    <n v="0"/>
    <n v="22309.56"/>
    <n v="16152.12"/>
    <n v="6157.44"/>
    <x v="1"/>
    <n v="1"/>
    <x v="5"/>
  </r>
  <r>
    <s v="ORD10210"/>
    <d v="2024-09-12T00:00:00"/>
    <x v="0"/>
    <s v="Bengal"/>
    <s v="Kolkata"/>
    <x v="1"/>
    <x v="13"/>
    <n v="2"/>
    <n v="804.63"/>
    <n v="0"/>
    <n v="1609.26"/>
    <n v="1147.4000000000001"/>
    <n v="461.86"/>
    <x v="0"/>
    <n v="9"/>
    <x v="7"/>
  </r>
  <r>
    <s v="ORD10211"/>
    <d v="2024-09-25T00:00:00"/>
    <x v="4"/>
    <s v="Chhattisgarh"/>
    <s v="Raipur"/>
    <x v="2"/>
    <x v="6"/>
    <n v="1"/>
    <n v="17961.55"/>
    <n v="0"/>
    <n v="17961.55"/>
    <n v="14405.16"/>
    <n v="3556.39"/>
    <x v="0"/>
    <n v="9"/>
    <x v="7"/>
  </r>
  <r>
    <s v="ORD10212"/>
    <d v="2024-07-23T00:00:00"/>
    <x v="0"/>
    <s v="Assam"/>
    <s v="Guwahati"/>
    <x v="1"/>
    <x v="9"/>
    <n v="1"/>
    <n v="1802.42"/>
    <n v="0"/>
    <n v="1802.42"/>
    <n v="1414.9"/>
    <n v="387.52"/>
    <x v="0"/>
    <n v="7"/>
    <x v="11"/>
  </r>
  <r>
    <s v="ORD10213"/>
    <d v="2024-03-30T00:00:00"/>
    <x v="4"/>
    <s v="Chhattisgarh"/>
    <s v="Raipur"/>
    <x v="2"/>
    <x v="10"/>
    <n v="1"/>
    <n v="8678.33"/>
    <n v="0"/>
    <n v="8678.33"/>
    <n v="5935.98"/>
    <n v="2742.35"/>
    <x v="0"/>
    <n v="3"/>
    <x v="13"/>
  </r>
  <r>
    <s v="ORD10214"/>
    <d v="2024-06-10T00:00:00"/>
    <x v="2"/>
    <s v="Goa"/>
    <s v="Panaji"/>
    <x v="0"/>
    <x v="0"/>
    <n v="1"/>
    <n v="63989.06"/>
    <n v="0"/>
    <n v="63989.06"/>
    <n v="58549.99"/>
    <n v="5439.07"/>
    <x v="0"/>
    <n v="6"/>
    <x v="18"/>
  </r>
  <r>
    <s v="ORD10215"/>
    <d v="2025-05-20T00:00:00"/>
    <x v="0"/>
    <s v="Odisha"/>
    <s v="Cuttack"/>
    <x v="1"/>
    <x v="13"/>
    <n v="1"/>
    <n v="303.05"/>
    <n v="0"/>
    <n v="303.05"/>
    <n v="218.8"/>
    <n v="84.25"/>
    <x v="1"/>
    <n v="5"/>
    <x v="12"/>
  </r>
  <r>
    <s v="ORD10216"/>
    <d v="2024-03-08T00:00:00"/>
    <x v="4"/>
    <s v="Chhattisgarh"/>
    <s v="Bilaspur"/>
    <x v="2"/>
    <x v="7"/>
    <n v="1"/>
    <n v="19690.78"/>
    <n v="0"/>
    <n v="19690.78"/>
    <n v="18115.52"/>
    <n v="1575.26"/>
    <x v="0"/>
    <n v="3"/>
    <x v="13"/>
  </r>
  <r>
    <s v="ORD10217"/>
    <d v="2024-03-16T00:00:00"/>
    <x v="2"/>
    <s v="Goa"/>
    <s v="Panaji"/>
    <x v="1"/>
    <x v="12"/>
    <n v="1"/>
    <n v="1376.21"/>
    <n v="0"/>
    <n v="1376.21"/>
    <n v="1018.4"/>
    <n v="357.81"/>
    <x v="0"/>
    <n v="3"/>
    <x v="13"/>
  </r>
  <r>
    <s v="ORD10218"/>
    <d v="2025-07-18T00:00:00"/>
    <x v="1"/>
    <s v="Punjab"/>
    <s v="Amritsar"/>
    <x v="1"/>
    <x v="13"/>
    <n v="1"/>
    <n v="1825.89"/>
    <n v="0.05"/>
    <n v="1734.6"/>
    <n v="1219.42"/>
    <n v="515.17999999999995"/>
    <x v="1"/>
    <n v="7"/>
    <x v="1"/>
  </r>
  <r>
    <s v="ORD10219"/>
    <d v="2025-06-14T00:00:00"/>
    <x v="2"/>
    <s v="Goa"/>
    <s v="Panaji"/>
    <x v="0"/>
    <x v="4"/>
    <n v="2"/>
    <n v="74974.81"/>
    <n v="0"/>
    <n v="149949.62"/>
    <n v="138853.35"/>
    <n v="11096.27"/>
    <x v="1"/>
    <n v="6"/>
    <x v="17"/>
  </r>
  <r>
    <s v="ORD10220"/>
    <d v="2025-06-15T00:00:00"/>
    <x v="4"/>
    <s v="Madhya Pradesh"/>
    <s v="Indore"/>
    <x v="0"/>
    <x v="5"/>
    <n v="1"/>
    <n v="24132.73"/>
    <n v="0"/>
    <n v="24132.73"/>
    <n v="15782.81"/>
    <n v="8349.92"/>
    <x v="1"/>
    <n v="6"/>
    <x v="17"/>
  </r>
  <r>
    <s v="ORD10221"/>
    <d v="2025-06-30T00:00:00"/>
    <x v="0"/>
    <s v="Assam"/>
    <s v="Guwahati"/>
    <x v="0"/>
    <x v="5"/>
    <n v="1"/>
    <n v="58488.72"/>
    <n v="0"/>
    <n v="58488.72"/>
    <n v="49072.04"/>
    <n v="9416.68"/>
    <x v="1"/>
    <n v="6"/>
    <x v="17"/>
  </r>
  <r>
    <s v="ORD10222"/>
    <d v="2025-07-31T00:00:00"/>
    <x v="0"/>
    <s v="Bengal"/>
    <s v="Kolkata"/>
    <x v="0"/>
    <x v="5"/>
    <n v="2"/>
    <n v="23378.5"/>
    <n v="0"/>
    <n v="46757"/>
    <n v="31140.16"/>
    <n v="15616.84"/>
    <x v="1"/>
    <n v="7"/>
    <x v="1"/>
  </r>
  <r>
    <s v="ORD10223"/>
    <d v="2025-08-08T00:00:00"/>
    <x v="3"/>
    <s v="Karnataka"/>
    <s v="Mysuru"/>
    <x v="2"/>
    <x v="10"/>
    <n v="5"/>
    <n v="8662.4500000000007"/>
    <n v="0"/>
    <n v="43312.25"/>
    <n v="31358.07"/>
    <n v="11954.18"/>
    <x v="1"/>
    <n v="8"/>
    <x v="15"/>
  </r>
  <r>
    <s v="ORD10224"/>
    <d v="2025-05-09T00:00:00"/>
    <x v="2"/>
    <s v="Gujarat"/>
    <s v="Surat"/>
    <x v="1"/>
    <x v="12"/>
    <n v="1"/>
    <n v="192.3"/>
    <n v="0.1"/>
    <n v="173.07"/>
    <n v="160.09"/>
    <n v="12.98"/>
    <x v="1"/>
    <n v="5"/>
    <x v="12"/>
  </r>
  <r>
    <s v="ORD10225"/>
    <d v="2025-03-01T00:00:00"/>
    <x v="3"/>
    <s v="Andhra Pradesh"/>
    <s v="Vijayawada"/>
    <x v="1"/>
    <x v="13"/>
    <n v="2"/>
    <n v="330.15"/>
    <n v="0"/>
    <n v="660.3"/>
    <n v="516.35"/>
    <n v="143.94999999999999"/>
    <x v="1"/>
    <n v="3"/>
    <x v="10"/>
  </r>
  <r>
    <s v="ORD10226"/>
    <d v="2024-11-22T00:00:00"/>
    <x v="4"/>
    <s v="Chhattisgarh"/>
    <s v="Raipur"/>
    <x v="1"/>
    <x v="13"/>
    <n v="1"/>
    <n v="1145.22"/>
    <n v="0"/>
    <n v="1145.22"/>
    <n v="776.46"/>
    <n v="368.76"/>
    <x v="0"/>
    <n v="11"/>
    <x v="14"/>
  </r>
  <r>
    <s v="ORD10227"/>
    <d v="2025-04-22T00:00:00"/>
    <x v="0"/>
    <s v="Odisha"/>
    <s v="Cuttack"/>
    <x v="0"/>
    <x v="0"/>
    <n v="1"/>
    <n v="10454.5"/>
    <n v="0"/>
    <n v="10454.5"/>
    <n v="8384.51"/>
    <n v="2069.9899999999998"/>
    <x v="1"/>
    <n v="4"/>
    <x v="9"/>
  </r>
  <r>
    <s v="ORD10228"/>
    <d v="2025-01-28T00:00:00"/>
    <x v="1"/>
    <s v="Uttar Pradesh"/>
    <s v="Lucknow"/>
    <x v="0"/>
    <x v="4"/>
    <n v="1"/>
    <n v="74898.87"/>
    <n v="0"/>
    <n v="74898.87"/>
    <n v="60593.19"/>
    <n v="14305.68"/>
    <x v="1"/>
    <n v="1"/>
    <x v="5"/>
  </r>
  <r>
    <s v="ORD10229"/>
    <d v="2024-07-13T00:00:00"/>
    <x v="2"/>
    <s v="Goa"/>
    <s v="Margao"/>
    <x v="1"/>
    <x v="3"/>
    <n v="1"/>
    <n v="1019.87"/>
    <n v="0.1"/>
    <n v="917.88"/>
    <n v="838.94"/>
    <n v="78.94"/>
    <x v="0"/>
    <n v="7"/>
    <x v="11"/>
  </r>
  <r>
    <s v="ORD10230"/>
    <d v="2025-06-01T00:00:00"/>
    <x v="3"/>
    <s v="Tamil Nadu"/>
    <s v="Chennai"/>
    <x v="2"/>
    <x v="6"/>
    <n v="1"/>
    <n v="3119.14"/>
    <n v="0"/>
    <n v="3119.14"/>
    <n v="2354.9499999999998"/>
    <n v="764.19"/>
    <x v="1"/>
    <n v="6"/>
    <x v="17"/>
  </r>
  <r>
    <s v="ORD10231"/>
    <d v="2025-04-26T00:00:00"/>
    <x v="4"/>
    <s v="Madhya Pradesh"/>
    <s v="Bhopal"/>
    <x v="1"/>
    <x v="9"/>
    <n v="2"/>
    <n v="1770.79"/>
    <n v="0"/>
    <n v="3541.58"/>
    <n v="2744.72"/>
    <n v="796.86"/>
    <x v="1"/>
    <n v="4"/>
    <x v="9"/>
  </r>
  <r>
    <s v="ORD10232"/>
    <d v="2025-02-16T00:00:00"/>
    <x v="4"/>
    <s v="Madhya Pradesh"/>
    <s v="Indore"/>
    <x v="0"/>
    <x v="5"/>
    <n v="4"/>
    <n v="46259.9"/>
    <n v="0"/>
    <n v="185039.6"/>
    <n v="155063.18"/>
    <n v="29976.42"/>
    <x v="1"/>
    <n v="2"/>
    <x v="8"/>
  </r>
  <r>
    <s v="ORD10233"/>
    <d v="2024-10-22T00:00:00"/>
    <x v="0"/>
    <s v="Jharkhand"/>
    <s v="Jamshedpur"/>
    <x v="2"/>
    <x v="6"/>
    <n v="1"/>
    <n v="20982.16"/>
    <n v="0"/>
    <n v="20982.16"/>
    <n v="14456.71"/>
    <n v="6525.45"/>
    <x v="0"/>
    <n v="10"/>
    <x v="19"/>
  </r>
  <r>
    <s v="ORD10234"/>
    <d v="2024-05-01T00:00:00"/>
    <x v="2"/>
    <s v="Maharashtra"/>
    <s v="Pune"/>
    <x v="1"/>
    <x v="3"/>
    <n v="1"/>
    <n v="1137.77"/>
    <n v="0"/>
    <n v="1137.77"/>
    <n v="752.07"/>
    <n v="385.7"/>
    <x v="0"/>
    <n v="5"/>
    <x v="16"/>
  </r>
  <r>
    <s v="ORD10235"/>
    <d v="2024-05-27T00:00:00"/>
    <x v="2"/>
    <s v="Gujarat"/>
    <s v="Surat"/>
    <x v="2"/>
    <x v="8"/>
    <n v="1"/>
    <n v="3041.98"/>
    <n v="0.1"/>
    <n v="2737.78"/>
    <n v="1804.2"/>
    <n v="933.58"/>
    <x v="0"/>
    <n v="5"/>
    <x v="16"/>
  </r>
  <r>
    <s v="ORD10236"/>
    <d v="2025-04-30T00:00:00"/>
    <x v="1"/>
    <s v="Uttar Pradesh"/>
    <s v="Lucknow"/>
    <x v="2"/>
    <x v="10"/>
    <n v="1"/>
    <n v="5214.96"/>
    <n v="0"/>
    <n v="5214.96"/>
    <n v="3561.82"/>
    <n v="1653.14"/>
    <x v="1"/>
    <n v="4"/>
    <x v="9"/>
  </r>
  <r>
    <s v="ORD10237"/>
    <d v="2024-11-22T00:00:00"/>
    <x v="2"/>
    <s v="Goa"/>
    <s v="Margao"/>
    <x v="2"/>
    <x v="6"/>
    <n v="1"/>
    <n v="13668.24"/>
    <n v="0"/>
    <n v="13668.24"/>
    <n v="8911.69"/>
    <n v="4756.55"/>
    <x v="0"/>
    <n v="11"/>
    <x v="14"/>
  </r>
  <r>
    <s v="ORD10238"/>
    <d v="2025-05-16T00:00:00"/>
    <x v="1"/>
    <s v="Haryana"/>
    <s v="Faridabad"/>
    <x v="0"/>
    <x v="4"/>
    <n v="1"/>
    <n v="28505.45"/>
    <n v="0.1"/>
    <n v="25654.91"/>
    <n v="20113.45"/>
    <n v="5541.46"/>
    <x v="1"/>
    <n v="5"/>
    <x v="12"/>
  </r>
  <r>
    <s v="ORD10239"/>
    <d v="2025-08-20T00:00:00"/>
    <x v="4"/>
    <s v="Madhya Pradesh"/>
    <s v="Indore"/>
    <x v="1"/>
    <x v="13"/>
    <n v="4"/>
    <n v="1176.3900000000001"/>
    <n v="0"/>
    <n v="4705.5600000000004"/>
    <n v="3731.51"/>
    <n v="974.05"/>
    <x v="1"/>
    <n v="8"/>
    <x v="15"/>
  </r>
  <r>
    <s v="ORD10240"/>
    <d v="2025-08-20T00:00:00"/>
    <x v="3"/>
    <s v="Tamil Nadu"/>
    <s v="Coimbatore"/>
    <x v="0"/>
    <x v="0"/>
    <n v="1"/>
    <n v="5430.93"/>
    <n v="0"/>
    <n v="5430.93"/>
    <n v="4024.32"/>
    <n v="1406.61"/>
    <x v="1"/>
    <n v="8"/>
    <x v="15"/>
  </r>
  <r>
    <s v="ORD10241"/>
    <d v="2024-04-22T00:00:00"/>
    <x v="2"/>
    <s v="Maharashtra"/>
    <s v="Pune"/>
    <x v="1"/>
    <x v="12"/>
    <n v="1"/>
    <n v="345.29"/>
    <n v="0"/>
    <n v="345.29"/>
    <n v="263.11"/>
    <n v="82.18"/>
    <x v="0"/>
    <n v="4"/>
    <x v="0"/>
  </r>
  <r>
    <s v="ORD10242"/>
    <d v="2025-02-24T00:00:00"/>
    <x v="1"/>
    <s v="Uttar Pradesh"/>
    <s v="Lucknow"/>
    <x v="2"/>
    <x v="11"/>
    <n v="1"/>
    <n v="13929.71"/>
    <n v="0"/>
    <n v="13929.71"/>
    <n v="9472.2000000000007"/>
    <n v="4457.51"/>
    <x v="1"/>
    <n v="2"/>
    <x v="8"/>
  </r>
  <r>
    <s v="ORD10243"/>
    <d v="2025-05-04T00:00:00"/>
    <x v="1"/>
    <s v="Uttar Pradesh"/>
    <s v="Kanpur"/>
    <x v="0"/>
    <x v="2"/>
    <n v="1"/>
    <n v="73233.56"/>
    <n v="0"/>
    <n v="73233.56"/>
    <n v="63420.26"/>
    <n v="9813.2999999999993"/>
    <x v="1"/>
    <n v="5"/>
    <x v="12"/>
  </r>
  <r>
    <s v="ORD10244"/>
    <d v="2024-12-28T00:00:00"/>
    <x v="4"/>
    <s v="Chhattisgarh"/>
    <s v="Raipur"/>
    <x v="0"/>
    <x v="4"/>
    <n v="4"/>
    <n v="45972.67"/>
    <n v="0"/>
    <n v="183890.68"/>
    <n v="125597.33"/>
    <n v="58293.35"/>
    <x v="0"/>
    <n v="12"/>
    <x v="3"/>
  </r>
  <r>
    <s v="ORD10245"/>
    <d v="2024-10-31T00:00:00"/>
    <x v="4"/>
    <s v="Madhya Pradesh"/>
    <s v="Indore"/>
    <x v="1"/>
    <x v="12"/>
    <n v="1"/>
    <n v="730.17"/>
    <n v="0"/>
    <n v="730.17"/>
    <n v="557.85"/>
    <n v="172.32"/>
    <x v="0"/>
    <n v="10"/>
    <x v="19"/>
  </r>
  <r>
    <s v="ORD10246"/>
    <d v="2024-10-07T00:00:00"/>
    <x v="4"/>
    <s v="Madhya Pradesh"/>
    <s v="Indore"/>
    <x v="1"/>
    <x v="3"/>
    <n v="1"/>
    <n v="1911.49"/>
    <n v="0"/>
    <n v="1911.49"/>
    <n v="1708.87"/>
    <n v="202.62"/>
    <x v="0"/>
    <n v="10"/>
    <x v="19"/>
  </r>
  <r>
    <s v="ORD10247"/>
    <d v="2024-10-24T00:00:00"/>
    <x v="0"/>
    <s v="Odisha"/>
    <s v="Bhubaneswar"/>
    <x v="1"/>
    <x v="12"/>
    <n v="1"/>
    <n v="1329.15"/>
    <n v="0"/>
    <n v="1329.15"/>
    <n v="1121.8"/>
    <n v="207.35"/>
    <x v="0"/>
    <n v="10"/>
    <x v="19"/>
  </r>
  <r>
    <s v="ORD10248"/>
    <d v="2024-08-07T00:00:00"/>
    <x v="2"/>
    <s v="Gujarat"/>
    <s v="Surat"/>
    <x v="2"/>
    <x v="6"/>
    <n v="1"/>
    <n v="5157.28"/>
    <n v="0"/>
    <n v="5157.28"/>
    <n v="4780.8"/>
    <n v="376.48"/>
    <x v="0"/>
    <n v="8"/>
    <x v="6"/>
  </r>
  <r>
    <s v="ORD10249"/>
    <d v="2025-08-23T00:00:00"/>
    <x v="2"/>
    <s v="Maharashtra"/>
    <s v="Mumbai"/>
    <x v="2"/>
    <x v="10"/>
    <n v="5"/>
    <n v="7190.45"/>
    <n v="0"/>
    <n v="35952.25"/>
    <n v="23512.77"/>
    <n v="12439.48"/>
    <x v="1"/>
    <n v="8"/>
    <x v="15"/>
  </r>
  <r>
    <s v="ORD10250"/>
    <d v="2024-04-12T00:00:00"/>
    <x v="3"/>
    <s v="Kerala"/>
    <s v="Thiruvananthapuram"/>
    <x v="0"/>
    <x v="0"/>
    <n v="2"/>
    <n v="3398.97"/>
    <n v="0"/>
    <n v="6797.94"/>
    <n v="5363.57"/>
    <n v="1434.37"/>
    <x v="0"/>
    <n v="4"/>
    <x v="0"/>
  </r>
  <r>
    <s v="ORD10251"/>
    <d v="2024-06-10T00:00:00"/>
    <x v="3"/>
    <s v="Andhra Pradesh"/>
    <s v="Visakhapatnam"/>
    <x v="2"/>
    <x v="11"/>
    <n v="1"/>
    <n v="19385.95"/>
    <n v="0"/>
    <n v="19385.95"/>
    <n v="13686.48"/>
    <n v="5699.47"/>
    <x v="0"/>
    <n v="6"/>
    <x v="18"/>
  </r>
  <r>
    <s v="ORD10252"/>
    <d v="2024-10-19T00:00:00"/>
    <x v="0"/>
    <s v="Bengal"/>
    <s v="Kolkata"/>
    <x v="2"/>
    <x v="8"/>
    <n v="2"/>
    <n v="23004.28"/>
    <n v="0.05"/>
    <n v="43708.13"/>
    <n v="39381.03"/>
    <n v="4327.1000000000004"/>
    <x v="0"/>
    <n v="10"/>
    <x v="19"/>
  </r>
  <r>
    <s v="ORD10253"/>
    <d v="2024-02-07T00:00:00"/>
    <x v="3"/>
    <s v="Andhra Pradesh"/>
    <s v="Vijayawada"/>
    <x v="2"/>
    <x v="6"/>
    <n v="3"/>
    <n v="22165.09"/>
    <n v="0.15"/>
    <n v="56520.98"/>
    <n v="39734.25"/>
    <n v="16786.73"/>
    <x v="0"/>
    <n v="2"/>
    <x v="4"/>
  </r>
  <r>
    <s v="ORD10254"/>
    <d v="2024-04-19T00:00:00"/>
    <x v="4"/>
    <s v="Chhattisgarh"/>
    <s v="Bilaspur"/>
    <x v="2"/>
    <x v="10"/>
    <n v="4"/>
    <n v="14059.33"/>
    <n v="0"/>
    <n v="56237.32"/>
    <n v="41165.72"/>
    <n v="15071.6"/>
    <x v="0"/>
    <n v="4"/>
    <x v="0"/>
  </r>
  <r>
    <s v="ORD10255"/>
    <d v="2024-05-17T00:00:00"/>
    <x v="1"/>
    <s v="Uttar Pradesh"/>
    <s v="Kanpur"/>
    <x v="0"/>
    <x v="1"/>
    <n v="1"/>
    <n v="28462.68"/>
    <n v="0"/>
    <n v="28462.68"/>
    <n v="23481.71"/>
    <n v="4980.97"/>
    <x v="0"/>
    <n v="5"/>
    <x v="16"/>
  </r>
  <r>
    <s v="ORD10256"/>
    <d v="2024-09-20T00:00:00"/>
    <x v="2"/>
    <s v="Maharashtra"/>
    <s v="Pune"/>
    <x v="1"/>
    <x v="13"/>
    <n v="4"/>
    <n v="1365.08"/>
    <n v="0.15"/>
    <n v="4641.2700000000004"/>
    <n v="3202.48"/>
    <n v="1438.79"/>
    <x v="0"/>
    <n v="9"/>
    <x v="7"/>
  </r>
  <r>
    <s v="ORD10257"/>
    <d v="2025-02-19T00:00:00"/>
    <x v="3"/>
    <s v="Kerala"/>
    <s v="Kochi"/>
    <x v="1"/>
    <x v="14"/>
    <n v="1"/>
    <n v="410.32"/>
    <n v="0.1"/>
    <n v="369.29"/>
    <n v="347.87"/>
    <n v="21.42"/>
    <x v="1"/>
    <n v="2"/>
    <x v="8"/>
  </r>
  <r>
    <s v="ORD10258"/>
    <d v="2024-09-11T00:00:00"/>
    <x v="0"/>
    <s v="Odisha"/>
    <s v="Cuttack"/>
    <x v="0"/>
    <x v="2"/>
    <n v="1"/>
    <n v="61039.26"/>
    <n v="0"/>
    <n v="61039.26"/>
    <n v="43154.76"/>
    <n v="17884.5"/>
    <x v="0"/>
    <n v="9"/>
    <x v="7"/>
  </r>
  <r>
    <s v="ORD10259"/>
    <d v="2024-11-05T00:00:00"/>
    <x v="1"/>
    <s v="Delhi"/>
    <s v="New Delhi"/>
    <x v="2"/>
    <x v="6"/>
    <n v="5"/>
    <n v="17933.68"/>
    <n v="0.05"/>
    <n v="85184.98"/>
    <n v="77092.41"/>
    <n v="8092.57"/>
    <x v="0"/>
    <n v="11"/>
    <x v="14"/>
  </r>
  <r>
    <s v="ORD10260"/>
    <d v="2025-04-21T00:00:00"/>
    <x v="4"/>
    <s v="Madhya Pradesh"/>
    <s v="Indore"/>
    <x v="2"/>
    <x v="10"/>
    <n v="1"/>
    <n v="23231.439999999999"/>
    <n v="0"/>
    <n v="23231.439999999999"/>
    <n v="19421.48"/>
    <n v="3809.96"/>
    <x v="1"/>
    <n v="4"/>
    <x v="9"/>
  </r>
  <r>
    <s v="ORD10261"/>
    <d v="2024-11-14T00:00:00"/>
    <x v="0"/>
    <s v="Odisha"/>
    <s v="Cuttack"/>
    <x v="2"/>
    <x v="11"/>
    <n v="4"/>
    <n v="7039.96"/>
    <n v="0.05"/>
    <n v="26751.85"/>
    <n v="18646.04"/>
    <n v="8105.81"/>
    <x v="0"/>
    <n v="11"/>
    <x v="14"/>
  </r>
  <r>
    <s v="ORD10262"/>
    <d v="2025-04-10T00:00:00"/>
    <x v="1"/>
    <s v="Haryana"/>
    <s v="Faridabad"/>
    <x v="2"/>
    <x v="10"/>
    <n v="2"/>
    <n v="22994.33"/>
    <n v="0"/>
    <n v="45988.66"/>
    <n v="37204.83"/>
    <n v="8783.83"/>
    <x v="1"/>
    <n v="4"/>
    <x v="9"/>
  </r>
  <r>
    <s v="ORD10263"/>
    <d v="2024-08-11T00:00:00"/>
    <x v="2"/>
    <s v="Gujarat"/>
    <s v="Ahmedabad"/>
    <x v="2"/>
    <x v="7"/>
    <n v="1"/>
    <n v="14147.98"/>
    <n v="0"/>
    <n v="14147.98"/>
    <n v="12280.45"/>
    <n v="1867.53"/>
    <x v="0"/>
    <n v="8"/>
    <x v="6"/>
  </r>
  <r>
    <s v="ORD10264"/>
    <d v="2025-07-31T00:00:00"/>
    <x v="0"/>
    <s v="Bengal"/>
    <s v="Kolkata"/>
    <x v="2"/>
    <x v="10"/>
    <n v="1"/>
    <n v="5446.6"/>
    <n v="0"/>
    <n v="5446.6"/>
    <n v="3763.6"/>
    <n v="1683"/>
    <x v="1"/>
    <n v="7"/>
    <x v="1"/>
  </r>
  <r>
    <s v="ORD10265"/>
    <d v="2025-06-16T00:00:00"/>
    <x v="3"/>
    <s v="Karnataka"/>
    <s v="Bengaluru"/>
    <x v="2"/>
    <x v="10"/>
    <n v="2"/>
    <n v="13243.04"/>
    <n v="0"/>
    <n v="26486.080000000002"/>
    <n v="17215.95"/>
    <n v="9270.1299999999992"/>
    <x v="1"/>
    <n v="6"/>
    <x v="17"/>
  </r>
  <r>
    <s v="ORD10266"/>
    <d v="2025-04-01T00:00:00"/>
    <x v="0"/>
    <s v="Jharkhand"/>
    <s v="Ranchi"/>
    <x v="2"/>
    <x v="7"/>
    <n v="5"/>
    <n v="12506.36"/>
    <n v="0.1"/>
    <n v="56278.62"/>
    <n v="44066.16"/>
    <n v="12212.46"/>
    <x v="1"/>
    <n v="4"/>
    <x v="9"/>
  </r>
  <r>
    <s v="ORD10267"/>
    <d v="2024-11-11T00:00:00"/>
    <x v="0"/>
    <s v="Jharkhand"/>
    <s v="Jamshedpur"/>
    <x v="0"/>
    <x v="0"/>
    <n v="2"/>
    <n v="47529.97"/>
    <n v="0.1"/>
    <n v="85553.95"/>
    <n v="57064.480000000003"/>
    <n v="28489.47"/>
    <x v="0"/>
    <n v="11"/>
    <x v="14"/>
  </r>
  <r>
    <s v="ORD10268"/>
    <d v="2024-03-06T00:00:00"/>
    <x v="1"/>
    <s v="Delhi"/>
    <s v="New Delhi"/>
    <x v="1"/>
    <x v="14"/>
    <n v="2"/>
    <n v="609.83000000000004"/>
    <n v="0.05"/>
    <n v="1158.68"/>
    <n v="1015"/>
    <n v="143.68"/>
    <x v="0"/>
    <n v="3"/>
    <x v="13"/>
  </r>
  <r>
    <s v="ORD10269"/>
    <d v="2025-03-06T00:00:00"/>
    <x v="4"/>
    <s v="Chhattisgarh"/>
    <s v="Bilaspur"/>
    <x v="1"/>
    <x v="12"/>
    <n v="1"/>
    <n v="206.49"/>
    <n v="0"/>
    <n v="206.49"/>
    <n v="188.11"/>
    <n v="18.38"/>
    <x v="1"/>
    <n v="3"/>
    <x v="10"/>
  </r>
  <r>
    <s v="ORD10270"/>
    <d v="2025-07-06T00:00:00"/>
    <x v="2"/>
    <s v="Gujarat"/>
    <s v="Surat"/>
    <x v="0"/>
    <x v="0"/>
    <n v="4"/>
    <n v="79449.2"/>
    <n v="0"/>
    <n v="317796.8"/>
    <n v="244067.94"/>
    <n v="73728.86"/>
    <x v="1"/>
    <n v="7"/>
    <x v="1"/>
  </r>
  <r>
    <s v="ORD10271"/>
    <d v="2024-05-10T00:00:00"/>
    <x v="2"/>
    <s v="Maharashtra"/>
    <s v="Mumbai"/>
    <x v="1"/>
    <x v="12"/>
    <n v="1"/>
    <n v="1363.32"/>
    <n v="0"/>
    <n v="1363.32"/>
    <n v="1019.76"/>
    <n v="343.56"/>
    <x v="0"/>
    <n v="5"/>
    <x v="16"/>
  </r>
  <r>
    <s v="ORD10272"/>
    <d v="2025-06-28T00:00:00"/>
    <x v="3"/>
    <s v="Tamil Nadu"/>
    <s v="Chennai"/>
    <x v="1"/>
    <x v="3"/>
    <n v="1"/>
    <n v="352.49"/>
    <n v="0.15"/>
    <n v="299.62"/>
    <n v="252.58"/>
    <n v="47.04"/>
    <x v="1"/>
    <n v="6"/>
    <x v="17"/>
  </r>
  <r>
    <s v="ORD10273"/>
    <d v="2024-04-25T00:00:00"/>
    <x v="0"/>
    <s v="Jharkhand"/>
    <s v="Ranchi"/>
    <x v="0"/>
    <x v="0"/>
    <n v="1"/>
    <n v="8181.4"/>
    <n v="0"/>
    <n v="8181.4"/>
    <n v="6127.87"/>
    <n v="2053.5300000000002"/>
    <x v="0"/>
    <n v="4"/>
    <x v="0"/>
  </r>
  <r>
    <s v="ORD10274"/>
    <d v="2025-04-02T00:00:00"/>
    <x v="1"/>
    <s v="Delhi"/>
    <s v="New Delhi"/>
    <x v="2"/>
    <x v="8"/>
    <n v="1"/>
    <n v="11252.1"/>
    <n v="0"/>
    <n v="11252.1"/>
    <n v="8079.01"/>
    <n v="3173.09"/>
    <x v="1"/>
    <n v="4"/>
    <x v="9"/>
  </r>
  <r>
    <s v="ORD10275"/>
    <d v="2024-08-10T00:00:00"/>
    <x v="0"/>
    <s v="Assam"/>
    <s v="Dibrugarh"/>
    <x v="0"/>
    <x v="5"/>
    <n v="1"/>
    <n v="27555.58"/>
    <n v="0"/>
    <n v="27555.58"/>
    <n v="19123.57"/>
    <n v="8432.01"/>
    <x v="0"/>
    <n v="8"/>
    <x v="6"/>
  </r>
  <r>
    <s v="ORD10276"/>
    <d v="2024-11-24T00:00:00"/>
    <x v="2"/>
    <s v="Goa"/>
    <s v="Panaji"/>
    <x v="2"/>
    <x v="10"/>
    <n v="1"/>
    <n v="7083.98"/>
    <n v="0"/>
    <n v="7083.98"/>
    <n v="5539.67"/>
    <n v="1544.31"/>
    <x v="0"/>
    <n v="11"/>
    <x v="14"/>
  </r>
  <r>
    <s v="ORD10277"/>
    <d v="2024-03-03T00:00:00"/>
    <x v="1"/>
    <s v="Punjab"/>
    <s v="Ludhiana"/>
    <x v="2"/>
    <x v="7"/>
    <n v="3"/>
    <n v="3078.33"/>
    <n v="0"/>
    <n v="9234.99"/>
    <n v="7655.81"/>
    <n v="1579.18"/>
    <x v="0"/>
    <n v="3"/>
    <x v="13"/>
  </r>
  <r>
    <s v="ORD10278"/>
    <d v="2025-01-25T00:00:00"/>
    <x v="1"/>
    <s v="Haryana"/>
    <s v="Faridabad"/>
    <x v="1"/>
    <x v="9"/>
    <n v="1"/>
    <n v="634.78"/>
    <n v="0.15"/>
    <n v="539.55999999999995"/>
    <n v="507.73"/>
    <n v="31.83"/>
    <x v="1"/>
    <n v="1"/>
    <x v="5"/>
  </r>
  <r>
    <s v="ORD10279"/>
    <d v="2025-04-29T00:00:00"/>
    <x v="2"/>
    <s v="Maharashtra"/>
    <s v="Pune"/>
    <x v="2"/>
    <x v="11"/>
    <n v="2"/>
    <n v="20532.849999999999"/>
    <n v="0"/>
    <n v="41065.699999999997"/>
    <n v="31374.19"/>
    <n v="9691.51"/>
    <x v="1"/>
    <n v="4"/>
    <x v="9"/>
  </r>
  <r>
    <s v="ORD10280"/>
    <d v="2025-07-29T00:00:00"/>
    <x v="3"/>
    <s v="Andhra Pradesh"/>
    <s v="Vijayawada"/>
    <x v="1"/>
    <x v="9"/>
    <n v="2"/>
    <n v="547.24"/>
    <n v="0"/>
    <n v="1094.48"/>
    <n v="969.71"/>
    <n v="124.77"/>
    <x v="1"/>
    <n v="7"/>
    <x v="1"/>
  </r>
  <r>
    <s v="ORD10281"/>
    <d v="2024-03-21T00:00:00"/>
    <x v="3"/>
    <s v="Kerala"/>
    <s v="Kochi"/>
    <x v="2"/>
    <x v="11"/>
    <n v="1"/>
    <n v="3185.34"/>
    <n v="0"/>
    <n v="3185.34"/>
    <n v="3013.33"/>
    <n v="172.01"/>
    <x v="0"/>
    <n v="3"/>
    <x v="13"/>
  </r>
  <r>
    <s v="ORD10282"/>
    <d v="2024-02-10T00:00:00"/>
    <x v="0"/>
    <s v="Assam"/>
    <s v="Guwahati"/>
    <x v="1"/>
    <x v="9"/>
    <n v="1"/>
    <n v="1745.47"/>
    <n v="0"/>
    <n v="1745.47"/>
    <n v="1349.25"/>
    <n v="396.22"/>
    <x v="0"/>
    <n v="2"/>
    <x v="4"/>
  </r>
  <r>
    <s v="ORD10283"/>
    <d v="2024-01-16T00:00:00"/>
    <x v="2"/>
    <s v="Maharashtra"/>
    <s v="Mumbai"/>
    <x v="2"/>
    <x v="7"/>
    <n v="1"/>
    <n v="23032.15"/>
    <n v="0"/>
    <n v="23032.15"/>
    <n v="18863.330000000002"/>
    <n v="4168.82"/>
    <x v="0"/>
    <n v="1"/>
    <x v="2"/>
  </r>
  <r>
    <s v="ORD10284"/>
    <d v="2024-07-28T00:00:00"/>
    <x v="3"/>
    <s v="Tamil Nadu"/>
    <s v="Coimbatore"/>
    <x v="1"/>
    <x v="12"/>
    <n v="3"/>
    <n v="959.19"/>
    <n v="0"/>
    <n v="2877.57"/>
    <n v="2434.42"/>
    <n v="443.15"/>
    <x v="0"/>
    <n v="7"/>
    <x v="11"/>
  </r>
  <r>
    <s v="ORD10285"/>
    <d v="2024-11-11T00:00:00"/>
    <x v="4"/>
    <s v="Chhattisgarh"/>
    <s v="Bilaspur"/>
    <x v="1"/>
    <x v="14"/>
    <n v="1"/>
    <n v="1615.49"/>
    <n v="0"/>
    <n v="1615.49"/>
    <n v="1155.08"/>
    <n v="460.41"/>
    <x v="0"/>
    <n v="11"/>
    <x v="14"/>
  </r>
  <r>
    <s v="ORD10286"/>
    <d v="2024-11-23T00:00:00"/>
    <x v="2"/>
    <s v="Goa"/>
    <s v="Margao"/>
    <x v="1"/>
    <x v="14"/>
    <n v="1"/>
    <n v="1146.92"/>
    <n v="0"/>
    <n v="1146.92"/>
    <n v="875.1"/>
    <n v="271.82"/>
    <x v="0"/>
    <n v="11"/>
    <x v="14"/>
  </r>
  <r>
    <s v="ORD10287"/>
    <d v="2024-05-29T00:00:00"/>
    <x v="0"/>
    <s v="Odisha"/>
    <s v="Cuttack"/>
    <x v="1"/>
    <x v="9"/>
    <n v="3"/>
    <n v="432.57"/>
    <n v="0"/>
    <n v="1297.71"/>
    <n v="862.98"/>
    <n v="434.73"/>
    <x v="0"/>
    <n v="5"/>
    <x v="16"/>
  </r>
  <r>
    <s v="ORD10288"/>
    <d v="2025-08-06T00:00:00"/>
    <x v="2"/>
    <s v="Goa"/>
    <s v="Margao"/>
    <x v="1"/>
    <x v="12"/>
    <n v="1"/>
    <n v="1934.69"/>
    <n v="0"/>
    <n v="1934.69"/>
    <n v="1300.1099999999999"/>
    <n v="634.58000000000004"/>
    <x v="1"/>
    <n v="8"/>
    <x v="15"/>
  </r>
  <r>
    <s v="ORD10289"/>
    <d v="2025-05-17T00:00:00"/>
    <x v="3"/>
    <s v="Tamil Nadu"/>
    <s v="Coimbatore"/>
    <x v="0"/>
    <x v="0"/>
    <n v="1"/>
    <n v="58464.14"/>
    <n v="0"/>
    <n v="58464.14"/>
    <n v="51039.19"/>
    <n v="7424.95"/>
    <x v="1"/>
    <n v="5"/>
    <x v="12"/>
  </r>
  <r>
    <s v="ORD10290"/>
    <d v="2025-07-09T00:00:00"/>
    <x v="0"/>
    <s v="Bengal"/>
    <s v="Kolkata"/>
    <x v="2"/>
    <x v="8"/>
    <n v="1"/>
    <n v="19579.79"/>
    <n v="0"/>
    <n v="19579.79"/>
    <n v="12844.34"/>
    <n v="6735.45"/>
    <x v="1"/>
    <n v="7"/>
    <x v="1"/>
  </r>
  <r>
    <s v="ORD10291"/>
    <d v="2024-08-24T00:00:00"/>
    <x v="0"/>
    <s v="Assam"/>
    <s v="Guwahati"/>
    <x v="0"/>
    <x v="5"/>
    <n v="1"/>
    <n v="38112.74"/>
    <n v="0.15"/>
    <n v="32395.83"/>
    <n v="27568.85"/>
    <n v="4826.9799999999996"/>
    <x v="0"/>
    <n v="8"/>
    <x v="6"/>
  </r>
  <r>
    <s v="ORD10292"/>
    <d v="2025-05-09T00:00:00"/>
    <x v="3"/>
    <s v="Karnataka"/>
    <s v="Bengaluru"/>
    <x v="2"/>
    <x v="10"/>
    <n v="1"/>
    <n v="11460.79"/>
    <n v="0.15"/>
    <n v="9741.67"/>
    <n v="8553.19"/>
    <n v="1188.48"/>
    <x v="1"/>
    <n v="5"/>
    <x v="12"/>
  </r>
  <r>
    <s v="ORD10293"/>
    <d v="2024-10-08T00:00:00"/>
    <x v="1"/>
    <s v="Haryana"/>
    <s v="Gurugram"/>
    <x v="2"/>
    <x v="7"/>
    <n v="1"/>
    <n v="20541.86"/>
    <n v="0"/>
    <n v="20541.86"/>
    <n v="18713.63"/>
    <n v="1828.23"/>
    <x v="0"/>
    <n v="10"/>
    <x v="19"/>
  </r>
  <r>
    <s v="ORD10294"/>
    <d v="2024-04-19T00:00:00"/>
    <x v="0"/>
    <s v="Assam"/>
    <s v="Guwahati"/>
    <x v="0"/>
    <x v="5"/>
    <n v="1"/>
    <n v="43537.11"/>
    <n v="0"/>
    <n v="43537.11"/>
    <n v="39357.550000000003"/>
    <n v="4179.5600000000004"/>
    <x v="0"/>
    <n v="4"/>
    <x v="0"/>
  </r>
  <r>
    <s v="ORD10295"/>
    <d v="2024-09-30T00:00:00"/>
    <x v="3"/>
    <s v="Karnataka"/>
    <s v="Mysuru"/>
    <x v="1"/>
    <x v="12"/>
    <n v="1"/>
    <n v="1151.75"/>
    <n v="0"/>
    <n v="1151.75"/>
    <n v="873.03"/>
    <n v="278.72000000000003"/>
    <x v="0"/>
    <n v="9"/>
    <x v="7"/>
  </r>
  <r>
    <s v="ORD10296"/>
    <d v="2024-08-19T00:00:00"/>
    <x v="4"/>
    <s v="Madhya Pradesh"/>
    <s v="Bhopal"/>
    <x v="0"/>
    <x v="2"/>
    <n v="1"/>
    <n v="32203.33"/>
    <n v="0"/>
    <n v="32203.33"/>
    <n v="27244.02"/>
    <n v="4959.3100000000004"/>
    <x v="0"/>
    <n v="8"/>
    <x v="6"/>
  </r>
  <r>
    <s v="ORD10297"/>
    <d v="2024-02-27T00:00:00"/>
    <x v="0"/>
    <s v="Assam"/>
    <s v="Guwahati"/>
    <x v="1"/>
    <x v="12"/>
    <n v="3"/>
    <n v="1307.57"/>
    <n v="0"/>
    <n v="3922.71"/>
    <n v="3169.55"/>
    <n v="753.16"/>
    <x v="0"/>
    <n v="2"/>
    <x v="4"/>
  </r>
  <r>
    <s v="ORD10298"/>
    <d v="2024-04-07T00:00:00"/>
    <x v="1"/>
    <s v="Delhi"/>
    <s v="New Delhi"/>
    <x v="0"/>
    <x v="5"/>
    <n v="2"/>
    <n v="39613.519999999997"/>
    <n v="0.05"/>
    <n v="75265.69"/>
    <n v="67588.59"/>
    <n v="7677.1"/>
    <x v="0"/>
    <n v="4"/>
    <x v="0"/>
  </r>
  <r>
    <s v="ORD10299"/>
    <d v="2024-10-14T00:00:00"/>
    <x v="1"/>
    <s v="Delhi"/>
    <s v="New Delhi"/>
    <x v="1"/>
    <x v="14"/>
    <n v="1"/>
    <n v="1924.86"/>
    <n v="0"/>
    <n v="1924.86"/>
    <n v="1805.52"/>
    <n v="119.34"/>
    <x v="0"/>
    <n v="10"/>
    <x v="19"/>
  </r>
  <r>
    <s v="ORD10300"/>
    <d v="2025-02-11T00:00:00"/>
    <x v="0"/>
    <s v="Odisha"/>
    <s v="Bhubaneswar"/>
    <x v="2"/>
    <x v="11"/>
    <n v="1"/>
    <n v="15034.01"/>
    <n v="0"/>
    <n v="15034.01"/>
    <n v="13019.45"/>
    <n v="2014.56"/>
    <x v="1"/>
    <n v="2"/>
    <x v="8"/>
  </r>
  <r>
    <s v="ORD10301"/>
    <d v="2025-07-07T00:00:00"/>
    <x v="4"/>
    <s v="Chhattisgarh"/>
    <s v="Raipur"/>
    <x v="2"/>
    <x v="8"/>
    <n v="1"/>
    <n v="13518.24"/>
    <n v="0"/>
    <n v="13518.24"/>
    <n v="12477.34"/>
    <n v="1040.9000000000001"/>
    <x v="1"/>
    <n v="7"/>
    <x v="1"/>
  </r>
  <r>
    <s v="ORD10302"/>
    <d v="2024-02-24T00:00:00"/>
    <x v="0"/>
    <s v="Jharkhand"/>
    <s v="Ranchi"/>
    <x v="0"/>
    <x v="4"/>
    <n v="1"/>
    <n v="49597.99"/>
    <n v="0"/>
    <n v="49597.99"/>
    <n v="40273.57"/>
    <n v="9324.42"/>
    <x v="0"/>
    <n v="2"/>
    <x v="4"/>
  </r>
  <r>
    <s v="ORD10303"/>
    <d v="2025-02-10T00:00:00"/>
    <x v="4"/>
    <s v="Madhya Pradesh"/>
    <s v="Indore"/>
    <x v="1"/>
    <x v="12"/>
    <n v="1"/>
    <n v="494.87"/>
    <n v="0"/>
    <n v="494.87"/>
    <n v="416.19"/>
    <n v="78.680000000000007"/>
    <x v="1"/>
    <n v="2"/>
    <x v="8"/>
  </r>
  <r>
    <s v="ORD10304"/>
    <d v="2025-01-19T00:00:00"/>
    <x v="3"/>
    <s v="Tamil Nadu"/>
    <s v="Coimbatore"/>
    <x v="0"/>
    <x v="5"/>
    <n v="1"/>
    <n v="25744.22"/>
    <n v="0"/>
    <n v="25744.22"/>
    <n v="19127.96"/>
    <n v="6616.26"/>
    <x v="1"/>
    <n v="1"/>
    <x v="5"/>
  </r>
  <r>
    <s v="ORD10305"/>
    <d v="2024-03-16T00:00:00"/>
    <x v="0"/>
    <s v="Odisha"/>
    <s v="Bhubaneswar"/>
    <x v="1"/>
    <x v="9"/>
    <n v="1"/>
    <n v="1492.33"/>
    <n v="0"/>
    <n v="1492.33"/>
    <n v="1059.55"/>
    <n v="432.78"/>
    <x v="0"/>
    <n v="3"/>
    <x v="13"/>
  </r>
  <r>
    <s v="ORD10306"/>
    <d v="2024-04-19T00:00:00"/>
    <x v="0"/>
    <s v="Bengal"/>
    <s v="Siliguri"/>
    <x v="1"/>
    <x v="3"/>
    <n v="1"/>
    <n v="1534.63"/>
    <n v="0.05"/>
    <n v="1457.9"/>
    <n v="1348.56"/>
    <n v="109.34"/>
    <x v="0"/>
    <n v="4"/>
    <x v="0"/>
  </r>
  <r>
    <s v="ORD10307"/>
    <d v="2024-07-10T00:00:00"/>
    <x v="3"/>
    <s v="Andhra Pradesh"/>
    <s v="Visakhapatnam"/>
    <x v="0"/>
    <x v="1"/>
    <n v="3"/>
    <n v="9900.65"/>
    <n v="0"/>
    <n v="29701.95"/>
    <n v="20019.11"/>
    <n v="9682.84"/>
    <x v="0"/>
    <n v="7"/>
    <x v="11"/>
  </r>
  <r>
    <s v="ORD10308"/>
    <d v="2024-11-28T00:00:00"/>
    <x v="3"/>
    <s v="Karnataka"/>
    <s v="Mysuru"/>
    <x v="1"/>
    <x v="12"/>
    <n v="1"/>
    <n v="1569.38"/>
    <n v="0"/>
    <n v="1569.38"/>
    <n v="1360.65"/>
    <n v="208.73"/>
    <x v="0"/>
    <n v="11"/>
    <x v="14"/>
  </r>
  <r>
    <s v="ORD10309"/>
    <d v="2025-07-26T00:00:00"/>
    <x v="2"/>
    <s v="Gujarat"/>
    <s v="Ahmedabad"/>
    <x v="2"/>
    <x v="7"/>
    <n v="2"/>
    <n v="5898.54"/>
    <n v="0"/>
    <n v="11797.08"/>
    <n v="8564.68"/>
    <n v="3232.4"/>
    <x v="1"/>
    <n v="7"/>
    <x v="1"/>
  </r>
  <r>
    <s v="ORD10310"/>
    <d v="2024-10-01T00:00:00"/>
    <x v="3"/>
    <s v="Tamil Nadu"/>
    <s v="Chennai"/>
    <x v="0"/>
    <x v="2"/>
    <n v="1"/>
    <n v="24249.06"/>
    <n v="0"/>
    <n v="24249.06"/>
    <n v="21508.92"/>
    <n v="2740.14"/>
    <x v="0"/>
    <n v="10"/>
    <x v="19"/>
  </r>
  <r>
    <s v="ORD10311"/>
    <d v="2024-03-19T00:00:00"/>
    <x v="4"/>
    <s v="Chhattisgarh"/>
    <s v="Raipur"/>
    <x v="2"/>
    <x v="7"/>
    <n v="1"/>
    <n v="15657.55"/>
    <n v="0.05"/>
    <n v="14874.67"/>
    <n v="11974.11"/>
    <n v="2900.56"/>
    <x v="0"/>
    <n v="3"/>
    <x v="13"/>
  </r>
  <r>
    <s v="ORD10312"/>
    <d v="2024-05-18T00:00:00"/>
    <x v="4"/>
    <s v="Madhya Pradesh"/>
    <s v="Indore"/>
    <x v="1"/>
    <x v="13"/>
    <n v="1"/>
    <n v="790.79"/>
    <n v="0"/>
    <n v="790.79"/>
    <n v="663.47"/>
    <n v="127.32"/>
    <x v="0"/>
    <n v="5"/>
    <x v="16"/>
  </r>
  <r>
    <s v="ORD10313"/>
    <d v="2025-03-26T00:00:00"/>
    <x v="4"/>
    <s v="Chhattisgarh"/>
    <s v="Raipur"/>
    <x v="1"/>
    <x v="3"/>
    <n v="1"/>
    <n v="1226.26"/>
    <n v="0"/>
    <n v="1226.26"/>
    <n v="890.26"/>
    <n v="336"/>
    <x v="1"/>
    <n v="3"/>
    <x v="10"/>
  </r>
  <r>
    <s v="ORD10314"/>
    <d v="2025-05-05T00:00:00"/>
    <x v="4"/>
    <s v="Madhya Pradesh"/>
    <s v="Indore"/>
    <x v="1"/>
    <x v="3"/>
    <n v="1"/>
    <n v="1483.01"/>
    <n v="0"/>
    <n v="1483.01"/>
    <n v="1296.1500000000001"/>
    <n v="186.86"/>
    <x v="1"/>
    <n v="5"/>
    <x v="12"/>
  </r>
  <r>
    <s v="ORD10315"/>
    <d v="2025-08-12T00:00:00"/>
    <x v="2"/>
    <s v="Goa"/>
    <s v="Margao"/>
    <x v="1"/>
    <x v="12"/>
    <n v="2"/>
    <n v="761.78"/>
    <n v="0"/>
    <n v="1523.56"/>
    <n v="1037.54"/>
    <n v="486.02"/>
    <x v="1"/>
    <n v="8"/>
    <x v="15"/>
  </r>
  <r>
    <s v="ORD10316"/>
    <d v="2024-07-23T00:00:00"/>
    <x v="1"/>
    <s v="Punjab"/>
    <s v="Amritsar"/>
    <x v="2"/>
    <x v="7"/>
    <n v="1"/>
    <n v="23688.42"/>
    <n v="0"/>
    <n v="23688.42"/>
    <n v="18713.849999999999"/>
    <n v="4974.57"/>
    <x v="0"/>
    <n v="7"/>
    <x v="11"/>
  </r>
  <r>
    <s v="ORD10317"/>
    <d v="2024-10-25T00:00:00"/>
    <x v="0"/>
    <s v="Jharkhand"/>
    <s v="Jamshedpur"/>
    <x v="0"/>
    <x v="4"/>
    <n v="1"/>
    <n v="21635.63"/>
    <n v="0"/>
    <n v="21635.63"/>
    <n v="17654.669999999998"/>
    <n v="3980.96"/>
    <x v="0"/>
    <n v="10"/>
    <x v="19"/>
  </r>
  <r>
    <s v="ORD10318"/>
    <d v="2025-03-09T00:00:00"/>
    <x v="3"/>
    <s v="Karnataka"/>
    <s v="Mysuru"/>
    <x v="2"/>
    <x v="7"/>
    <n v="1"/>
    <n v="15391.61"/>
    <n v="0"/>
    <n v="15391.61"/>
    <n v="13498.44"/>
    <n v="1893.17"/>
    <x v="1"/>
    <n v="3"/>
    <x v="10"/>
  </r>
  <r>
    <s v="ORD10319"/>
    <d v="2025-03-04T00:00:00"/>
    <x v="1"/>
    <s v="Delhi"/>
    <s v="New Delhi"/>
    <x v="2"/>
    <x v="10"/>
    <n v="1"/>
    <n v="15657.86"/>
    <n v="0"/>
    <n v="15657.86"/>
    <n v="13105.63"/>
    <n v="2552.23"/>
    <x v="1"/>
    <n v="3"/>
    <x v="10"/>
  </r>
  <r>
    <s v="ORD10320"/>
    <d v="2024-04-21T00:00:00"/>
    <x v="2"/>
    <s v="Gujarat"/>
    <s v="Surat"/>
    <x v="0"/>
    <x v="5"/>
    <n v="1"/>
    <n v="6410.85"/>
    <n v="0"/>
    <n v="6410.85"/>
    <n v="5468.46"/>
    <n v="942.39"/>
    <x v="0"/>
    <n v="4"/>
    <x v="0"/>
  </r>
  <r>
    <s v="ORD10321"/>
    <d v="2025-02-13T00:00:00"/>
    <x v="4"/>
    <s v="Chhattisgarh"/>
    <s v="Raipur"/>
    <x v="0"/>
    <x v="1"/>
    <n v="1"/>
    <n v="22922.85"/>
    <n v="0"/>
    <n v="22922.85"/>
    <n v="19530.27"/>
    <n v="3392.58"/>
    <x v="1"/>
    <n v="2"/>
    <x v="8"/>
  </r>
  <r>
    <s v="ORD10322"/>
    <d v="2025-06-15T00:00:00"/>
    <x v="1"/>
    <s v="Punjab"/>
    <s v="Ludhiana"/>
    <x v="1"/>
    <x v="12"/>
    <n v="1"/>
    <n v="952.97"/>
    <n v="0"/>
    <n v="952.97"/>
    <n v="650.88"/>
    <n v="302.08999999999997"/>
    <x v="1"/>
    <n v="6"/>
    <x v="17"/>
  </r>
  <r>
    <s v="ORD10323"/>
    <d v="2025-05-27T00:00:00"/>
    <x v="2"/>
    <s v="Goa"/>
    <s v="Panaji"/>
    <x v="1"/>
    <x v="14"/>
    <n v="1"/>
    <n v="626.09"/>
    <n v="0"/>
    <n v="626.09"/>
    <n v="467.06"/>
    <n v="159.03"/>
    <x v="1"/>
    <n v="5"/>
    <x v="12"/>
  </r>
  <r>
    <s v="ORD10324"/>
    <d v="2024-03-28T00:00:00"/>
    <x v="0"/>
    <s v="Assam"/>
    <s v="Dibrugarh"/>
    <x v="1"/>
    <x v="3"/>
    <n v="2"/>
    <n v="937.9"/>
    <n v="0"/>
    <n v="1875.8"/>
    <n v="1500.64"/>
    <n v="375.16"/>
    <x v="0"/>
    <n v="3"/>
    <x v="13"/>
  </r>
  <r>
    <s v="ORD10325"/>
    <d v="2025-05-09T00:00:00"/>
    <x v="4"/>
    <s v="Chhattisgarh"/>
    <s v="Raipur"/>
    <x v="1"/>
    <x v="12"/>
    <n v="1"/>
    <n v="671.87"/>
    <n v="0"/>
    <n v="671.87"/>
    <n v="530.11"/>
    <n v="141.76"/>
    <x v="1"/>
    <n v="5"/>
    <x v="12"/>
  </r>
  <r>
    <s v="ORD10326"/>
    <d v="2024-04-27T00:00:00"/>
    <x v="0"/>
    <s v="Odisha"/>
    <s v="Bhubaneswar"/>
    <x v="2"/>
    <x v="11"/>
    <n v="1"/>
    <n v="23388.22"/>
    <n v="0"/>
    <n v="23388.22"/>
    <n v="16979.849999999999"/>
    <n v="6408.37"/>
    <x v="0"/>
    <n v="4"/>
    <x v="0"/>
  </r>
  <r>
    <s v="ORD10327"/>
    <d v="2025-06-12T00:00:00"/>
    <x v="2"/>
    <s v="Gujarat"/>
    <s v="Ahmedabad"/>
    <x v="1"/>
    <x v="13"/>
    <n v="1"/>
    <n v="881.42"/>
    <n v="0"/>
    <n v="881.42"/>
    <n v="803.86"/>
    <n v="77.56"/>
    <x v="1"/>
    <n v="6"/>
    <x v="17"/>
  </r>
  <r>
    <s v="ORD10328"/>
    <d v="2025-02-18T00:00:00"/>
    <x v="2"/>
    <s v="Maharashtra"/>
    <s v="Pune"/>
    <x v="1"/>
    <x v="14"/>
    <n v="1"/>
    <n v="1487.91"/>
    <n v="0"/>
    <n v="1487.91"/>
    <n v="1251.33"/>
    <n v="236.58"/>
    <x v="1"/>
    <n v="2"/>
    <x v="8"/>
  </r>
  <r>
    <s v="ORD10329"/>
    <d v="2025-04-05T00:00:00"/>
    <x v="1"/>
    <s v="Uttar Pradesh"/>
    <s v="Kanpur"/>
    <x v="0"/>
    <x v="0"/>
    <n v="1"/>
    <n v="18845.400000000001"/>
    <n v="0"/>
    <n v="18845.400000000001"/>
    <n v="14680.57"/>
    <n v="4164.83"/>
    <x v="1"/>
    <n v="4"/>
    <x v="9"/>
  </r>
  <r>
    <s v="ORD10330"/>
    <d v="2024-03-05T00:00:00"/>
    <x v="1"/>
    <s v="Delhi"/>
    <s v="New Delhi"/>
    <x v="1"/>
    <x v="3"/>
    <n v="1"/>
    <n v="434.29"/>
    <n v="0.15"/>
    <n v="369.15"/>
    <n v="241.42"/>
    <n v="127.73"/>
    <x v="0"/>
    <n v="3"/>
    <x v="13"/>
  </r>
  <r>
    <s v="ORD10331"/>
    <d v="2025-05-16T00:00:00"/>
    <x v="1"/>
    <s v="Haryana"/>
    <s v="Faridabad"/>
    <x v="2"/>
    <x v="7"/>
    <n v="1"/>
    <n v="15501.11"/>
    <n v="0"/>
    <n v="15501.11"/>
    <n v="13625.48"/>
    <n v="1875.63"/>
    <x v="1"/>
    <n v="5"/>
    <x v="12"/>
  </r>
  <r>
    <s v="ORD10332"/>
    <d v="2025-04-13T00:00:00"/>
    <x v="1"/>
    <s v="Punjab"/>
    <s v="Ludhiana"/>
    <x v="2"/>
    <x v="10"/>
    <n v="1"/>
    <n v="3949.3"/>
    <n v="0.05"/>
    <n v="3751.84"/>
    <n v="3391.66"/>
    <n v="360.18"/>
    <x v="1"/>
    <n v="4"/>
    <x v="9"/>
  </r>
  <r>
    <s v="ORD10333"/>
    <d v="2024-09-01T00:00:00"/>
    <x v="4"/>
    <s v="Madhya Pradesh"/>
    <s v="Bhopal"/>
    <x v="1"/>
    <x v="9"/>
    <n v="1"/>
    <n v="1046.1099999999999"/>
    <n v="0"/>
    <n v="1046.1099999999999"/>
    <n v="943.59"/>
    <n v="102.52"/>
    <x v="0"/>
    <n v="9"/>
    <x v="7"/>
  </r>
  <r>
    <s v="ORD10334"/>
    <d v="2024-05-21T00:00:00"/>
    <x v="1"/>
    <s v="Uttar Pradesh"/>
    <s v="Kanpur"/>
    <x v="0"/>
    <x v="2"/>
    <n v="1"/>
    <n v="51933.63"/>
    <n v="0"/>
    <n v="51933.63"/>
    <n v="44870.66"/>
    <n v="7062.97"/>
    <x v="0"/>
    <n v="5"/>
    <x v="16"/>
  </r>
  <r>
    <s v="ORD10335"/>
    <d v="2024-06-26T00:00:00"/>
    <x v="1"/>
    <s v="Punjab"/>
    <s v="Ludhiana"/>
    <x v="1"/>
    <x v="9"/>
    <n v="1"/>
    <n v="414.84"/>
    <n v="0"/>
    <n v="414.84"/>
    <n v="282.51"/>
    <n v="132.33000000000001"/>
    <x v="0"/>
    <n v="6"/>
    <x v="18"/>
  </r>
  <r>
    <s v="ORD10336"/>
    <d v="2024-02-24T00:00:00"/>
    <x v="4"/>
    <s v="Madhya Pradesh"/>
    <s v="Indore"/>
    <x v="0"/>
    <x v="0"/>
    <n v="1"/>
    <n v="65771.63"/>
    <n v="0"/>
    <n v="65771.63"/>
    <n v="52156.9"/>
    <n v="13614.73"/>
    <x v="0"/>
    <n v="2"/>
    <x v="4"/>
  </r>
  <r>
    <s v="ORD10337"/>
    <d v="2025-06-01T00:00:00"/>
    <x v="3"/>
    <s v="Andhra Pradesh"/>
    <s v="Visakhapatnam"/>
    <x v="1"/>
    <x v="12"/>
    <n v="1"/>
    <n v="1002.96"/>
    <n v="0.05"/>
    <n v="952.81"/>
    <n v="624.09"/>
    <n v="328.72"/>
    <x v="1"/>
    <n v="6"/>
    <x v="17"/>
  </r>
  <r>
    <s v="ORD10338"/>
    <d v="2024-08-13T00:00:00"/>
    <x v="4"/>
    <s v="Madhya Pradesh"/>
    <s v="Indore"/>
    <x v="0"/>
    <x v="5"/>
    <n v="1"/>
    <n v="25227.61"/>
    <n v="0"/>
    <n v="25227.61"/>
    <n v="20964.14"/>
    <n v="4263.47"/>
    <x v="0"/>
    <n v="8"/>
    <x v="6"/>
  </r>
  <r>
    <s v="ORD10339"/>
    <d v="2025-08-02T00:00:00"/>
    <x v="3"/>
    <s v="Karnataka"/>
    <s v="Bengaluru"/>
    <x v="1"/>
    <x v="13"/>
    <n v="4"/>
    <n v="1655.4"/>
    <n v="0"/>
    <n v="6621.6"/>
    <n v="4568.8999999999996"/>
    <n v="2052.6999999999998"/>
    <x v="1"/>
    <n v="8"/>
    <x v="15"/>
  </r>
  <r>
    <s v="ORD10340"/>
    <d v="2024-02-12T00:00:00"/>
    <x v="3"/>
    <s v="Tamil Nadu"/>
    <s v="Coimbatore"/>
    <x v="0"/>
    <x v="0"/>
    <n v="2"/>
    <n v="25923.59"/>
    <n v="0"/>
    <n v="51847.18"/>
    <n v="45262.59"/>
    <n v="6584.59"/>
    <x v="0"/>
    <n v="2"/>
    <x v="4"/>
  </r>
  <r>
    <s v="ORD10341"/>
    <d v="2025-04-05T00:00:00"/>
    <x v="4"/>
    <s v="Chhattisgarh"/>
    <s v="Raipur"/>
    <x v="1"/>
    <x v="14"/>
    <n v="1"/>
    <n v="1562.48"/>
    <n v="0"/>
    <n v="1562.48"/>
    <n v="1170.3"/>
    <n v="392.18"/>
    <x v="1"/>
    <n v="4"/>
    <x v="9"/>
  </r>
  <r>
    <s v="ORD10342"/>
    <d v="2025-08-25T00:00:00"/>
    <x v="4"/>
    <s v="Chhattisgarh"/>
    <s v="Raipur"/>
    <x v="2"/>
    <x v="11"/>
    <n v="3"/>
    <n v="20051.53"/>
    <n v="0"/>
    <n v="60154.59"/>
    <n v="47101.04"/>
    <n v="13053.55"/>
    <x v="1"/>
    <n v="8"/>
    <x v="15"/>
  </r>
  <r>
    <s v="ORD10343"/>
    <d v="2024-03-01T00:00:00"/>
    <x v="1"/>
    <s v="Haryana"/>
    <s v="Faridabad"/>
    <x v="2"/>
    <x v="10"/>
    <n v="1"/>
    <n v="5872.68"/>
    <n v="0"/>
    <n v="5872.68"/>
    <n v="5085.74"/>
    <n v="786.94"/>
    <x v="0"/>
    <n v="3"/>
    <x v="13"/>
  </r>
  <r>
    <s v="ORD10344"/>
    <d v="2024-10-26T00:00:00"/>
    <x v="4"/>
    <s v="Chhattisgarh"/>
    <s v="Raipur"/>
    <x v="0"/>
    <x v="2"/>
    <n v="2"/>
    <n v="73745.19"/>
    <n v="0"/>
    <n v="147490.38"/>
    <n v="131856.4"/>
    <n v="15633.98"/>
    <x v="0"/>
    <n v="10"/>
    <x v="19"/>
  </r>
  <r>
    <s v="ORD10345"/>
    <d v="2024-05-09T00:00:00"/>
    <x v="2"/>
    <s v="Maharashtra"/>
    <s v="Mumbai"/>
    <x v="2"/>
    <x v="6"/>
    <n v="1"/>
    <n v="21055.08"/>
    <n v="0"/>
    <n v="21055.08"/>
    <n v="17307.28"/>
    <n v="3747.8"/>
    <x v="0"/>
    <n v="5"/>
    <x v="16"/>
  </r>
  <r>
    <s v="ORD10346"/>
    <d v="2025-02-06T00:00:00"/>
    <x v="3"/>
    <s v="Tamil Nadu"/>
    <s v="Coimbatore"/>
    <x v="2"/>
    <x v="7"/>
    <n v="1"/>
    <n v="10628.96"/>
    <n v="0.05"/>
    <n v="10097.51"/>
    <n v="8855.52"/>
    <n v="1241.99"/>
    <x v="1"/>
    <n v="2"/>
    <x v="8"/>
  </r>
  <r>
    <s v="ORD10347"/>
    <d v="2025-02-16T00:00:00"/>
    <x v="1"/>
    <s v="Haryana"/>
    <s v="Faridabad"/>
    <x v="1"/>
    <x v="12"/>
    <n v="1"/>
    <n v="688.21"/>
    <n v="0.15"/>
    <n v="584.98"/>
    <n v="448.68"/>
    <n v="136.30000000000001"/>
    <x v="1"/>
    <n v="2"/>
    <x v="8"/>
  </r>
  <r>
    <s v="ORD10348"/>
    <d v="2024-04-05T00:00:00"/>
    <x v="3"/>
    <s v="Kerala"/>
    <s v="Kochi"/>
    <x v="2"/>
    <x v="7"/>
    <n v="1"/>
    <n v="7010.09"/>
    <n v="0"/>
    <n v="7010.09"/>
    <n v="5439.83"/>
    <n v="1570.26"/>
    <x v="0"/>
    <n v="4"/>
    <x v="0"/>
  </r>
  <r>
    <s v="ORD10349"/>
    <d v="2024-08-04T00:00:00"/>
    <x v="3"/>
    <s v="Kerala"/>
    <s v="Thiruvananthapuram"/>
    <x v="1"/>
    <x v="3"/>
    <n v="1"/>
    <n v="1117.26"/>
    <n v="0.1"/>
    <n v="1005.53"/>
    <n v="810.46"/>
    <n v="195.07"/>
    <x v="0"/>
    <n v="8"/>
    <x v="6"/>
  </r>
  <r>
    <s v="ORD10350"/>
    <d v="2024-12-17T00:00:00"/>
    <x v="0"/>
    <s v="Bengal"/>
    <s v="Kolkata"/>
    <x v="2"/>
    <x v="7"/>
    <n v="1"/>
    <n v="2374.4699999999998"/>
    <n v="0"/>
    <n v="2374.4699999999998"/>
    <n v="2217.75"/>
    <n v="156.72"/>
    <x v="0"/>
    <n v="12"/>
    <x v="3"/>
  </r>
  <r>
    <s v="ORD10351"/>
    <d v="2024-06-10T00:00:00"/>
    <x v="3"/>
    <s v="Andhra Pradesh"/>
    <s v="Vijayawada"/>
    <x v="1"/>
    <x v="9"/>
    <n v="1"/>
    <n v="1991.6"/>
    <n v="0"/>
    <n v="1991.6"/>
    <n v="1812.36"/>
    <n v="179.24"/>
    <x v="0"/>
    <n v="6"/>
    <x v="18"/>
  </r>
  <r>
    <s v="ORD10352"/>
    <d v="2024-11-05T00:00:00"/>
    <x v="2"/>
    <s v="Goa"/>
    <s v="Panaji"/>
    <x v="2"/>
    <x v="6"/>
    <n v="1"/>
    <n v="7758.95"/>
    <n v="0"/>
    <n v="7758.95"/>
    <n v="5066.59"/>
    <n v="2692.36"/>
    <x v="0"/>
    <n v="11"/>
    <x v="14"/>
  </r>
  <r>
    <s v="ORD10353"/>
    <d v="2024-06-18T00:00:00"/>
    <x v="0"/>
    <s v="Jharkhand"/>
    <s v="Jamshedpur"/>
    <x v="2"/>
    <x v="11"/>
    <n v="1"/>
    <n v="11872.31"/>
    <n v="0.05"/>
    <n v="11278.69"/>
    <n v="7974.03"/>
    <n v="3304.66"/>
    <x v="0"/>
    <n v="6"/>
    <x v="18"/>
  </r>
  <r>
    <s v="ORD10354"/>
    <d v="2024-01-02T00:00:00"/>
    <x v="2"/>
    <s v="Goa"/>
    <s v="Panaji"/>
    <x v="0"/>
    <x v="5"/>
    <n v="1"/>
    <n v="20416.7"/>
    <n v="0"/>
    <n v="20416.7"/>
    <n v="15230.86"/>
    <n v="5185.84"/>
    <x v="0"/>
    <n v="1"/>
    <x v="2"/>
  </r>
  <r>
    <s v="ORD10355"/>
    <d v="2024-01-10T00:00:00"/>
    <x v="0"/>
    <s v="Odisha"/>
    <s v="Bhubaneswar"/>
    <x v="1"/>
    <x v="9"/>
    <n v="2"/>
    <n v="981.52"/>
    <n v="0"/>
    <n v="1963.04"/>
    <n v="1513.5"/>
    <n v="449.54"/>
    <x v="0"/>
    <n v="1"/>
    <x v="2"/>
  </r>
  <r>
    <s v="ORD10356"/>
    <d v="2024-04-01T00:00:00"/>
    <x v="0"/>
    <s v="Bengal"/>
    <s v="Siliguri"/>
    <x v="1"/>
    <x v="3"/>
    <n v="1"/>
    <n v="317.39999999999998"/>
    <n v="0"/>
    <n v="317.39999999999998"/>
    <n v="262.17"/>
    <n v="55.23"/>
    <x v="0"/>
    <n v="4"/>
    <x v="0"/>
  </r>
  <r>
    <s v="ORD10357"/>
    <d v="2024-05-16T00:00:00"/>
    <x v="2"/>
    <s v="Maharashtra"/>
    <s v="Mumbai"/>
    <x v="2"/>
    <x v="11"/>
    <n v="1"/>
    <n v="12122.29"/>
    <n v="0"/>
    <n v="12122.29"/>
    <n v="8134.06"/>
    <n v="3988.23"/>
    <x v="0"/>
    <n v="5"/>
    <x v="16"/>
  </r>
  <r>
    <s v="ORD10358"/>
    <d v="2024-06-04T00:00:00"/>
    <x v="3"/>
    <s v="Andhra Pradesh"/>
    <s v="Vijayawada"/>
    <x v="0"/>
    <x v="1"/>
    <n v="2"/>
    <n v="13781.01"/>
    <n v="0.15"/>
    <n v="23427.72"/>
    <n v="15462.3"/>
    <n v="7965.42"/>
    <x v="0"/>
    <n v="6"/>
    <x v="18"/>
  </r>
  <r>
    <s v="ORD10359"/>
    <d v="2025-01-28T00:00:00"/>
    <x v="4"/>
    <s v="Chhattisgarh"/>
    <s v="Bilaspur"/>
    <x v="0"/>
    <x v="0"/>
    <n v="1"/>
    <n v="24326.51"/>
    <n v="0.15"/>
    <n v="20677.53"/>
    <n v="15115.27"/>
    <n v="5562.26"/>
    <x v="1"/>
    <n v="1"/>
    <x v="5"/>
  </r>
  <r>
    <s v="ORD10360"/>
    <d v="2024-10-18T00:00:00"/>
    <x v="0"/>
    <s v="Odisha"/>
    <s v="Bhubaneswar"/>
    <x v="2"/>
    <x v="10"/>
    <n v="4"/>
    <n v="13719.02"/>
    <n v="0"/>
    <n v="54876.08"/>
    <n v="49168.97"/>
    <n v="5707.11"/>
    <x v="0"/>
    <n v="10"/>
    <x v="19"/>
  </r>
  <r>
    <s v="ORD10361"/>
    <d v="2024-10-29T00:00:00"/>
    <x v="0"/>
    <s v="Assam"/>
    <s v="Dibrugarh"/>
    <x v="1"/>
    <x v="14"/>
    <n v="1"/>
    <n v="520.11"/>
    <n v="0"/>
    <n v="520.11"/>
    <n v="378.64"/>
    <n v="141.47"/>
    <x v="0"/>
    <n v="10"/>
    <x v="19"/>
  </r>
  <r>
    <s v="ORD10362"/>
    <d v="2024-03-13T00:00:00"/>
    <x v="1"/>
    <s v="Delhi"/>
    <s v="New Delhi"/>
    <x v="1"/>
    <x v="9"/>
    <n v="1"/>
    <n v="804.33"/>
    <n v="0"/>
    <n v="804.33"/>
    <n v="560.62"/>
    <n v="243.71"/>
    <x v="0"/>
    <n v="3"/>
    <x v="13"/>
  </r>
  <r>
    <s v="ORD10363"/>
    <d v="2025-03-06T00:00:00"/>
    <x v="4"/>
    <s v="Madhya Pradesh"/>
    <s v="Indore"/>
    <x v="0"/>
    <x v="1"/>
    <n v="1"/>
    <n v="48226.99"/>
    <n v="0.05"/>
    <n v="45815.64"/>
    <n v="32574.92"/>
    <n v="13240.72"/>
    <x v="1"/>
    <n v="3"/>
    <x v="10"/>
  </r>
  <r>
    <s v="ORD10364"/>
    <d v="2024-02-10T00:00:00"/>
    <x v="0"/>
    <s v="Jharkhand"/>
    <s v="Jamshedpur"/>
    <x v="2"/>
    <x v="10"/>
    <n v="1"/>
    <n v="19643.53"/>
    <n v="0"/>
    <n v="19643.53"/>
    <n v="17698.82"/>
    <n v="1944.71"/>
    <x v="0"/>
    <n v="2"/>
    <x v="4"/>
  </r>
  <r>
    <s v="ORD10365"/>
    <d v="2025-02-15T00:00:00"/>
    <x v="0"/>
    <s v="Assam"/>
    <s v="Dibrugarh"/>
    <x v="0"/>
    <x v="4"/>
    <n v="1"/>
    <n v="9084.66"/>
    <n v="0"/>
    <n v="9084.66"/>
    <n v="6413.77"/>
    <n v="2670.89"/>
    <x v="1"/>
    <n v="2"/>
    <x v="8"/>
  </r>
  <r>
    <s v="ORD10366"/>
    <d v="2024-06-08T00:00:00"/>
    <x v="1"/>
    <s v="Haryana"/>
    <s v="Faridabad"/>
    <x v="2"/>
    <x v="8"/>
    <n v="2"/>
    <n v="9133.9"/>
    <n v="0"/>
    <n v="18267.8"/>
    <n v="14486.37"/>
    <n v="3781.43"/>
    <x v="0"/>
    <n v="6"/>
    <x v="18"/>
  </r>
  <r>
    <s v="ORD10367"/>
    <d v="2024-09-01T00:00:00"/>
    <x v="0"/>
    <s v="Assam"/>
    <s v="Guwahati"/>
    <x v="1"/>
    <x v="14"/>
    <n v="1"/>
    <n v="934.08"/>
    <n v="0"/>
    <n v="934.08"/>
    <n v="641.71"/>
    <n v="292.37"/>
    <x v="0"/>
    <n v="9"/>
    <x v="7"/>
  </r>
  <r>
    <s v="ORD10368"/>
    <d v="2024-11-12T00:00:00"/>
    <x v="2"/>
    <s v="Maharashtra"/>
    <s v="Mumbai"/>
    <x v="2"/>
    <x v="11"/>
    <n v="1"/>
    <n v="18134.490000000002"/>
    <n v="0.1"/>
    <n v="16321.04"/>
    <n v="11506.33"/>
    <n v="4814.71"/>
    <x v="0"/>
    <n v="11"/>
    <x v="14"/>
  </r>
  <r>
    <s v="ORD10369"/>
    <d v="2025-06-19T00:00:00"/>
    <x v="1"/>
    <s v="Haryana"/>
    <s v="Gurugram"/>
    <x v="1"/>
    <x v="9"/>
    <n v="1"/>
    <n v="1512.06"/>
    <n v="0"/>
    <n v="1512.06"/>
    <n v="1265.5899999999999"/>
    <n v="246.47"/>
    <x v="1"/>
    <n v="6"/>
    <x v="17"/>
  </r>
  <r>
    <s v="ORD10370"/>
    <d v="2024-04-30T00:00:00"/>
    <x v="0"/>
    <s v="Odisha"/>
    <s v="Cuttack"/>
    <x v="1"/>
    <x v="13"/>
    <n v="1"/>
    <n v="174.55"/>
    <n v="0"/>
    <n v="174.55"/>
    <n v="150.11000000000001"/>
    <n v="24.44"/>
    <x v="0"/>
    <n v="4"/>
    <x v="0"/>
  </r>
  <r>
    <s v="ORD10371"/>
    <d v="2025-08-13T00:00:00"/>
    <x v="0"/>
    <s v="Jharkhand"/>
    <s v="Jamshedpur"/>
    <x v="2"/>
    <x v="6"/>
    <n v="2"/>
    <n v="3275.1"/>
    <n v="0"/>
    <n v="6550.2"/>
    <n v="5233.6099999999997"/>
    <n v="1316.59"/>
    <x v="1"/>
    <n v="8"/>
    <x v="15"/>
  </r>
  <r>
    <s v="ORD10372"/>
    <d v="2024-06-19T00:00:00"/>
    <x v="4"/>
    <s v="Madhya Pradesh"/>
    <s v="Indore"/>
    <x v="0"/>
    <x v="5"/>
    <n v="1"/>
    <n v="54907.27"/>
    <n v="0.15"/>
    <n v="46671.18"/>
    <n v="31736.400000000001"/>
    <n v="14934.78"/>
    <x v="0"/>
    <n v="6"/>
    <x v="18"/>
  </r>
  <r>
    <s v="ORD10373"/>
    <d v="2025-06-05T00:00:00"/>
    <x v="0"/>
    <s v="Bengal"/>
    <s v="Kolkata"/>
    <x v="0"/>
    <x v="1"/>
    <n v="1"/>
    <n v="39325.870000000003"/>
    <n v="0"/>
    <n v="39325.870000000003"/>
    <n v="30949.46"/>
    <n v="8376.41"/>
    <x v="1"/>
    <n v="6"/>
    <x v="17"/>
  </r>
  <r>
    <s v="ORD10374"/>
    <d v="2024-06-02T00:00:00"/>
    <x v="2"/>
    <s v="Maharashtra"/>
    <s v="Pune"/>
    <x v="0"/>
    <x v="4"/>
    <n v="3"/>
    <n v="22116.27"/>
    <n v="0"/>
    <n v="66348.81"/>
    <n v="50624.14"/>
    <n v="15724.67"/>
    <x v="0"/>
    <n v="6"/>
    <x v="18"/>
  </r>
  <r>
    <s v="ORD10375"/>
    <d v="2024-11-23T00:00:00"/>
    <x v="4"/>
    <s v="Madhya Pradesh"/>
    <s v="Indore"/>
    <x v="0"/>
    <x v="5"/>
    <n v="1"/>
    <n v="54846.080000000002"/>
    <n v="0.05"/>
    <n v="52103.78"/>
    <n v="34805.33"/>
    <n v="17298.45"/>
    <x v="0"/>
    <n v="11"/>
    <x v="14"/>
  </r>
  <r>
    <s v="ORD10376"/>
    <d v="2025-06-12T00:00:00"/>
    <x v="0"/>
    <s v="Jharkhand"/>
    <s v="Ranchi"/>
    <x v="1"/>
    <x v="3"/>
    <n v="1"/>
    <n v="1558.38"/>
    <n v="0"/>
    <n v="1558.38"/>
    <n v="1324.62"/>
    <n v="233.76"/>
    <x v="1"/>
    <n v="6"/>
    <x v="17"/>
  </r>
  <r>
    <s v="ORD10377"/>
    <d v="2024-03-29T00:00:00"/>
    <x v="1"/>
    <s v="Uttar Pradesh"/>
    <s v="Lucknow"/>
    <x v="1"/>
    <x v="9"/>
    <n v="1"/>
    <n v="618.61"/>
    <n v="0"/>
    <n v="618.61"/>
    <n v="440.45"/>
    <n v="178.16"/>
    <x v="0"/>
    <n v="3"/>
    <x v="13"/>
  </r>
  <r>
    <s v="ORD10378"/>
    <d v="2024-09-05T00:00:00"/>
    <x v="3"/>
    <s v="Kerala"/>
    <s v="Thiruvananthapuram"/>
    <x v="0"/>
    <x v="5"/>
    <n v="1"/>
    <n v="61557.13"/>
    <n v="0"/>
    <n v="61557.13"/>
    <n v="48630.13"/>
    <n v="12927"/>
    <x v="0"/>
    <n v="9"/>
    <x v="7"/>
  </r>
  <r>
    <s v="ORD10379"/>
    <d v="2024-01-07T00:00:00"/>
    <x v="3"/>
    <s v="Karnataka"/>
    <s v="Bengaluru"/>
    <x v="2"/>
    <x v="6"/>
    <n v="3"/>
    <n v="16626.66"/>
    <n v="0"/>
    <n v="49879.98"/>
    <n v="35564.43"/>
    <n v="14315.55"/>
    <x v="0"/>
    <n v="1"/>
    <x v="2"/>
  </r>
  <r>
    <s v="ORD10380"/>
    <d v="2024-01-10T00:00:00"/>
    <x v="4"/>
    <s v="Madhya Pradesh"/>
    <s v="Indore"/>
    <x v="2"/>
    <x v="6"/>
    <n v="1"/>
    <n v="4390.83"/>
    <n v="0"/>
    <n v="4390.83"/>
    <n v="3758.55"/>
    <n v="632.28"/>
    <x v="0"/>
    <n v="1"/>
    <x v="2"/>
  </r>
  <r>
    <s v="ORD10381"/>
    <d v="2024-08-31T00:00:00"/>
    <x v="3"/>
    <s v="Andhra Pradesh"/>
    <s v="Vijayawada"/>
    <x v="0"/>
    <x v="4"/>
    <n v="1"/>
    <n v="10163.049999999999"/>
    <n v="0"/>
    <n v="10163.049999999999"/>
    <n v="7388.54"/>
    <n v="2774.51"/>
    <x v="0"/>
    <n v="8"/>
    <x v="6"/>
  </r>
  <r>
    <s v="ORD10382"/>
    <d v="2025-06-16T00:00:00"/>
    <x v="3"/>
    <s v="Kerala"/>
    <s v="Thiruvananthapuram"/>
    <x v="2"/>
    <x v="8"/>
    <n v="1"/>
    <n v="15357.72"/>
    <n v="0"/>
    <n v="15357.72"/>
    <n v="11963.66"/>
    <n v="3394.06"/>
    <x v="1"/>
    <n v="6"/>
    <x v="17"/>
  </r>
  <r>
    <s v="ORD10383"/>
    <d v="2025-02-07T00:00:00"/>
    <x v="0"/>
    <s v="Bengal"/>
    <s v="Siliguri"/>
    <x v="2"/>
    <x v="11"/>
    <n v="2"/>
    <n v="7445.75"/>
    <n v="0"/>
    <n v="14891.5"/>
    <n v="10230.459999999999"/>
    <n v="4661.04"/>
    <x v="1"/>
    <n v="2"/>
    <x v="8"/>
  </r>
  <r>
    <s v="ORD10384"/>
    <d v="2024-11-18T00:00:00"/>
    <x v="3"/>
    <s v="Kerala"/>
    <s v="Thiruvananthapuram"/>
    <x v="1"/>
    <x v="3"/>
    <n v="1"/>
    <n v="505.54"/>
    <n v="0"/>
    <n v="505.54"/>
    <n v="355.9"/>
    <n v="149.63999999999999"/>
    <x v="0"/>
    <n v="11"/>
    <x v="14"/>
  </r>
  <r>
    <s v="ORD10385"/>
    <d v="2024-05-19T00:00:00"/>
    <x v="1"/>
    <s v="Delhi"/>
    <s v="New Delhi"/>
    <x v="0"/>
    <x v="0"/>
    <n v="1"/>
    <n v="37616.639999999999"/>
    <n v="0"/>
    <n v="37616.639999999999"/>
    <n v="26181.18"/>
    <n v="11435.46"/>
    <x v="0"/>
    <n v="5"/>
    <x v="16"/>
  </r>
  <r>
    <s v="ORD10386"/>
    <d v="2024-05-03T00:00:00"/>
    <x v="1"/>
    <s v="Haryana"/>
    <s v="Gurugram"/>
    <x v="1"/>
    <x v="3"/>
    <n v="1"/>
    <n v="953.53"/>
    <n v="0"/>
    <n v="953.53"/>
    <n v="792.38"/>
    <n v="161.15"/>
    <x v="0"/>
    <n v="5"/>
    <x v="16"/>
  </r>
  <r>
    <s v="ORD10387"/>
    <d v="2024-04-02T00:00:00"/>
    <x v="2"/>
    <s v="Gujarat"/>
    <s v="Surat"/>
    <x v="2"/>
    <x v="10"/>
    <n v="2"/>
    <n v="2927.59"/>
    <n v="0"/>
    <n v="5855.18"/>
    <n v="5298.94"/>
    <n v="556.24"/>
    <x v="0"/>
    <n v="4"/>
    <x v="0"/>
  </r>
  <r>
    <s v="ORD10388"/>
    <d v="2024-12-01T00:00:00"/>
    <x v="2"/>
    <s v="Maharashtra"/>
    <s v="Mumbai"/>
    <x v="1"/>
    <x v="12"/>
    <n v="1"/>
    <n v="1051.25"/>
    <n v="0"/>
    <n v="1051.25"/>
    <n v="770.57"/>
    <n v="280.68"/>
    <x v="0"/>
    <n v="12"/>
    <x v="3"/>
  </r>
  <r>
    <s v="ORD10389"/>
    <d v="2024-09-23T00:00:00"/>
    <x v="2"/>
    <s v="Maharashtra"/>
    <s v="Pune"/>
    <x v="1"/>
    <x v="13"/>
    <n v="2"/>
    <n v="1508.75"/>
    <n v="0"/>
    <n v="3017.5"/>
    <n v="2287.2600000000002"/>
    <n v="730.24"/>
    <x v="0"/>
    <n v="9"/>
    <x v="7"/>
  </r>
  <r>
    <s v="ORD10390"/>
    <d v="2025-04-18T00:00:00"/>
    <x v="0"/>
    <s v="Assam"/>
    <s v="Guwahati"/>
    <x v="0"/>
    <x v="1"/>
    <n v="2"/>
    <n v="66938.67"/>
    <n v="0"/>
    <n v="133877.34"/>
    <n v="105361.47"/>
    <n v="28515.87"/>
    <x v="1"/>
    <n v="4"/>
    <x v="9"/>
  </r>
  <r>
    <s v="ORD10391"/>
    <d v="2024-05-13T00:00:00"/>
    <x v="2"/>
    <s v="Goa"/>
    <s v="Margao"/>
    <x v="2"/>
    <x v="8"/>
    <n v="1"/>
    <n v="15393.45"/>
    <n v="0"/>
    <n v="15393.45"/>
    <n v="13022.86"/>
    <n v="2370.59"/>
    <x v="0"/>
    <n v="5"/>
    <x v="16"/>
  </r>
  <r>
    <s v="ORD10392"/>
    <d v="2024-03-17T00:00:00"/>
    <x v="0"/>
    <s v="Bengal"/>
    <s v="Kolkata"/>
    <x v="2"/>
    <x v="7"/>
    <n v="1"/>
    <n v="20613.87"/>
    <n v="0.1"/>
    <n v="18552.48"/>
    <n v="12560.03"/>
    <n v="5992.45"/>
    <x v="0"/>
    <n v="3"/>
    <x v="13"/>
  </r>
  <r>
    <s v="ORD10393"/>
    <d v="2024-05-05T00:00:00"/>
    <x v="0"/>
    <s v="Jharkhand"/>
    <s v="Ranchi"/>
    <x v="0"/>
    <x v="5"/>
    <n v="1"/>
    <n v="36353.040000000001"/>
    <n v="0"/>
    <n v="36353.040000000001"/>
    <n v="30173.02"/>
    <n v="6180.02"/>
    <x v="0"/>
    <n v="5"/>
    <x v="16"/>
  </r>
  <r>
    <s v="ORD10394"/>
    <d v="2025-05-23T00:00:00"/>
    <x v="0"/>
    <s v="Jharkhand"/>
    <s v="Jamshedpur"/>
    <x v="0"/>
    <x v="4"/>
    <n v="1"/>
    <n v="19533.14"/>
    <n v="0.1"/>
    <n v="17579.830000000002"/>
    <n v="11708.17"/>
    <n v="5871.66"/>
    <x v="1"/>
    <n v="5"/>
    <x v="12"/>
  </r>
  <r>
    <s v="ORD10395"/>
    <d v="2025-04-01T00:00:00"/>
    <x v="2"/>
    <s v="Maharashtra"/>
    <s v="Mumbai"/>
    <x v="2"/>
    <x v="6"/>
    <n v="1"/>
    <n v="13474.51"/>
    <n v="0"/>
    <n v="13474.51"/>
    <n v="10429.27"/>
    <n v="3045.24"/>
    <x v="1"/>
    <n v="4"/>
    <x v="9"/>
  </r>
  <r>
    <s v="ORD10396"/>
    <d v="2025-05-05T00:00:00"/>
    <x v="0"/>
    <s v="Bengal"/>
    <s v="Siliguri"/>
    <x v="1"/>
    <x v="9"/>
    <n v="1"/>
    <n v="867.51"/>
    <n v="0"/>
    <n v="867.51"/>
    <n v="665.38"/>
    <n v="202.13"/>
    <x v="1"/>
    <n v="5"/>
    <x v="12"/>
  </r>
  <r>
    <s v="ORD10397"/>
    <d v="2025-06-22T00:00:00"/>
    <x v="2"/>
    <s v="Gujarat"/>
    <s v="Ahmedabad"/>
    <x v="1"/>
    <x v="3"/>
    <n v="1"/>
    <n v="985.38"/>
    <n v="0"/>
    <n v="985.38"/>
    <n v="677.94"/>
    <n v="307.44"/>
    <x v="1"/>
    <n v="6"/>
    <x v="17"/>
  </r>
  <r>
    <s v="ORD10398"/>
    <d v="2024-12-18T00:00:00"/>
    <x v="1"/>
    <s v="Haryana"/>
    <s v="Faridabad"/>
    <x v="1"/>
    <x v="9"/>
    <n v="4"/>
    <n v="100.82"/>
    <n v="0"/>
    <n v="403.28"/>
    <n v="314.56"/>
    <n v="88.72"/>
    <x v="0"/>
    <n v="12"/>
    <x v="3"/>
  </r>
  <r>
    <s v="ORD10399"/>
    <d v="2024-01-31T00:00:00"/>
    <x v="4"/>
    <s v="Madhya Pradesh"/>
    <s v="Indore"/>
    <x v="2"/>
    <x v="6"/>
    <n v="2"/>
    <n v="19637.37"/>
    <n v="0"/>
    <n v="39274.74"/>
    <n v="26431.9"/>
    <n v="12842.84"/>
    <x v="0"/>
    <n v="1"/>
    <x v="2"/>
  </r>
  <r>
    <s v="ORD10400"/>
    <d v="2024-06-12T00:00:00"/>
    <x v="0"/>
    <s v="Assam"/>
    <s v="Guwahati"/>
    <x v="1"/>
    <x v="13"/>
    <n v="2"/>
    <n v="1641.76"/>
    <n v="0"/>
    <n v="3283.52"/>
    <n v="2968.3"/>
    <n v="315.22000000000003"/>
    <x v="0"/>
    <n v="6"/>
    <x v="18"/>
  </r>
  <r>
    <s v="ORD10401"/>
    <d v="2024-02-27T00:00:00"/>
    <x v="2"/>
    <s v="Gujarat"/>
    <s v="Surat"/>
    <x v="1"/>
    <x v="9"/>
    <n v="1"/>
    <n v="393.4"/>
    <n v="0"/>
    <n v="393.4"/>
    <n v="302.13"/>
    <n v="91.27"/>
    <x v="0"/>
    <n v="2"/>
    <x v="4"/>
  </r>
  <r>
    <s v="ORD10402"/>
    <d v="2025-01-02T00:00:00"/>
    <x v="1"/>
    <s v="Delhi"/>
    <s v="New Delhi"/>
    <x v="2"/>
    <x v="10"/>
    <n v="1"/>
    <n v="5268.35"/>
    <n v="0"/>
    <n v="5268.35"/>
    <n v="3840.63"/>
    <n v="1427.72"/>
    <x v="1"/>
    <n v="1"/>
    <x v="5"/>
  </r>
  <r>
    <s v="ORD10403"/>
    <d v="2025-05-19T00:00:00"/>
    <x v="1"/>
    <s v="Haryana"/>
    <s v="Gurugram"/>
    <x v="1"/>
    <x v="14"/>
    <n v="4"/>
    <n v="226"/>
    <n v="0"/>
    <n v="904"/>
    <n v="607.49"/>
    <n v="296.51"/>
    <x v="1"/>
    <n v="5"/>
    <x v="12"/>
  </r>
  <r>
    <s v="ORD10404"/>
    <d v="2024-08-12T00:00:00"/>
    <x v="0"/>
    <s v="Jharkhand"/>
    <s v="Ranchi"/>
    <x v="1"/>
    <x v="13"/>
    <n v="1"/>
    <n v="442.86"/>
    <n v="0.15"/>
    <n v="376.43"/>
    <n v="344.81"/>
    <n v="31.62"/>
    <x v="0"/>
    <n v="8"/>
    <x v="6"/>
  </r>
  <r>
    <s v="ORD10405"/>
    <d v="2024-06-30T00:00:00"/>
    <x v="4"/>
    <s v="Madhya Pradesh"/>
    <s v="Bhopal"/>
    <x v="0"/>
    <x v="5"/>
    <n v="5"/>
    <n v="57261.62"/>
    <n v="0.05"/>
    <n v="271992.7"/>
    <n v="189850.9"/>
    <n v="82141.8"/>
    <x v="0"/>
    <n v="6"/>
    <x v="18"/>
  </r>
  <r>
    <s v="ORD10406"/>
    <d v="2025-06-22T00:00:00"/>
    <x v="4"/>
    <s v="Madhya Pradesh"/>
    <s v="Indore"/>
    <x v="2"/>
    <x v="7"/>
    <n v="1"/>
    <n v="15478.38"/>
    <n v="0"/>
    <n v="15478.38"/>
    <n v="10432.43"/>
    <n v="5045.95"/>
    <x v="1"/>
    <n v="6"/>
    <x v="17"/>
  </r>
  <r>
    <s v="ORD10407"/>
    <d v="2024-11-26T00:00:00"/>
    <x v="2"/>
    <s v="Maharashtra"/>
    <s v="Pune"/>
    <x v="2"/>
    <x v="7"/>
    <n v="3"/>
    <n v="16931.150000000001"/>
    <n v="0.15"/>
    <n v="43174.43"/>
    <n v="34280.5"/>
    <n v="8893.93"/>
    <x v="0"/>
    <n v="11"/>
    <x v="14"/>
  </r>
  <r>
    <s v="ORD10408"/>
    <d v="2024-12-31T00:00:00"/>
    <x v="2"/>
    <s v="Gujarat"/>
    <s v="Ahmedabad"/>
    <x v="1"/>
    <x v="3"/>
    <n v="1"/>
    <n v="1481.29"/>
    <n v="0"/>
    <n v="1481.29"/>
    <n v="1229.47"/>
    <n v="251.82"/>
    <x v="0"/>
    <n v="12"/>
    <x v="3"/>
  </r>
  <r>
    <s v="ORD10409"/>
    <d v="2024-06-30T00:00:00"/>
    <x v="0"/>
    <s v="Jharkhand"/>
    <s v="Ranchi"/>
    <x v="0"/>
    <x v="5"/>
    <n v="1"/>
    <n v="27502.7"/>
    <n v="0"/>
    <n v="27502.7"/>
    <n v="23349.79"/>
    <n v="4152.91"/>
    <x v="0"/>
    <n v="6"/>
    <x v="18"/>
  </r>
  <r>
    <s v="ORD10410"/>
    <d v="2024-08-14T00:00:00"/>
    <x v="1"/>
    <s v="Delhi"/>
    <s v="New Delhi"/>
    <x v="0"/>
    <x v="4"/>
    <n v="2"/>
    <n v="60391.44"/>
    <n v="0"/>
    <n v="120782.88"/>
    <n v="114622.95"/>
    <n v="6159.93"/>
    <x v="0"/>
    <n v="8"/>
    <x v="6"/>
  </r>
  <r>
    <s v="ORD10411"/>
    <d v="2024-11-23T00:00:00"/>
    <x v="2"/>
    <s v="Gujarat"/>
    <s v="Ahmedabad"/>
    <x v="2"/>
    <x v="6"/>
    <n v="1"/>
    <n v="12272.49"/>
    <n v="0"/>
    <n v="12272.49"/>
    <n v="10198.44"/>
    <n v="2074.0500000000002"/>
    <x v="0"/>
    <n v="11"/>
    <x v="14"/>
  </r>
  <r>
    <s v="ORD10412"/>
    <d v="2024-09-12T00:00:00"/>
    <x v="0"/>
    <s v="Odisha"/>
    <s v="Cuttack"/>
    <x v="0"/>
    <x v="1"/>
    <n v="1"/>
    <n v="6707.35"/>
    <n v="0"/>
    <n v="6707.35"/>
    <n v="4520.75"/>
    <n v="2186.6"/>
    <x v="0"/>
    <n v="9"/>
    <x v="7"/>
  </r>
  <r>
    <s v="ORD10413"/>
    <d v="2025-03-05T00:00:00"/>
    <x v="2"/>
    <s v="Goa"/>
    <s v="Margao"/>
    <x v="1"/>
    <x v="3"/>
    <n v="1"/>
    <n v="1114.75"/>
    <n v="0.1"/>
    <n v="1003.27"/>
    <n v="848.77"/>
    <n v="154.5"/>
    <x v="1"/>
    <n v="3"/>
    <x v="10"/>
  </r>
  <r>
    <s v="ORD10414"/>
    <d v="2025-08-14T00:00:00"/>
    <x v="2"/>
    <s v="Maharashtra"/>
    <s v="Pune"/>
    <x v="0"/>
    <x v="1"/>
    <n v="2"/>
    <n v="25707.96"/>
    <n v="0"/>
    <n v="51415.92"/>
    <n v="41852.559999999998"/>
    <n v="9563.36"/>
    <x v="1"/>
    <n v="8"/>
    <x v="15"/>
  </r>
  <r>
    <s v="ORD10415"/>
    <d v="2024-04-17T00:00:00"/>
    <x v="0"/>
    <s v="Odisha"/>
    <s v="Bhubaneswar"/>
    <x v="1"/>
    <x v="9"/>
    <n v="1"/>
    <n v="1477.37"/>
    <n v="0"/>
    <n v="1477.37"/>
    <n v="1202.58"/>
    <n v="274.79000000000002"/>
    <x v="0"/>
    <n v="4"/>
    <x v="0"/>
  </r>
  <r>
    <s v="ORD10416"/>
    <d v="2024-04-05T00:00:00"/>
    <x v="4"/>
    <s v="Chhattisgarh"/>
    <s v="Raipur"/>
    <x v="1"/>
    <x v="9"/>
    <n v="1"/>
    <n v="1234.27"/>
    <n v="0"/>
    <n v="1234.27"/>
    <n v="1107.1400000000001"/>
    <n v="127.13"/>
    <x v="0"/>
    <n v="4"/>
    <x v="0"/>
  </r>
  <r>
    <s v="ORD10417"/>
    <d v="2024-02-24T00:00:00"/>
    <x v="0"/>
    <s v="Odisha"/>
    <s v="Bhubaneswar"/>
    <x v="0"/>
    <x v="2"/>
    <n v="1"/>
    <n v="56684.15"/>
    <n v="0"/>
    <n v="56684.15"/>
    <n v="46707.74"/>
    <n v="9976.41"/>
    <x v="0"/>
    <n v="2"/>
    <x v="4"/>
  </r>
  <r>
    <s v="ORD10418"/>
    <d v="2025-07-07T00:00:00"/>
    <x v="4"/>
    <s v="Chhattisgarh"/>
    <s v="Bilaspur"/>
    <x v="0"/>
    <x v="1"/>
    <n v="3"/>
    <n v="6821.93"/>
    <n v="0"/>
    <n v="20465.79"/>
    <n v="17211.73"/>
    <n v="3254.06"/>
    <x v="1"/>
    <n v="7"/>
    <x v="1"/>
  </r>
  <r>
    <s v="ORD10419"/>
    <d v="2025-05-17T00:00:00"/>
    <x v="2"/>
    <s v="Maharashtra"/>
    <s v="Pune"/>
    <x v="0"/>
    <x v="2"/>
    <n v="1"/>
    <n v="9747.3799999999992"/>
    <n v="0"/>
    <n v="9747.3799999999992"/>
    <n v="7408.01"/>
    <n v="2339.37"/>
    <x v="1"/>
    <n v="5"/>
    <x v="12"/>
  </r>
  <r>
    <s v="ORD10420"/>
    <d v="2025-05-06T00:00:00"/>
    <x v="2"/>
    <s v="Maharashtra"/>
    <s v="Mumbai"/>
    <x v="0"/>
    <x v="0"/>
    <n v="1"/>
    <n v="52140.68"/>
    <n v="0"/>
    <n v="52140.68"/>
    <n v="39157.65"/>
    <n v="12983.03"/>
    <x v="1"/>
    <n v="5"/>
    <x v="12"/>
  </r>
  <r>
    <s v="ORD10421"/>
    <d v="2025-04-29T00:00:00"/>
    <x v="0"/>
    <s v="Odisha"/>
    <s v="Cuttack"/>
    <x v="1"/>
    <x v="12"/>
    <n v="1"/>
    <n v="1795.01"/>
    <n v="0"/>
    <n v="1795.01"/>
    <n v="1188.3"/>
    <n v="606.71"/>
    <x v="1"/>
    <n v="4"/>
    <x v="9"/>
  </r>
  <r>
    <s v="ORD10422"/>
    <d v="2025-07-11T00:00:00"/>
    <x v="3"/>
    <s v="Tamil Nadu"/>
    <s v="Coimbatore"/>
    <x v="1"/>
    <x v="3"/>
    <n v="1"/>
    <n v="413.84"/>
    <n v="0.1"/>
    <n v="372.46"/>
    <n v="307.64999999999998"/>
    <n v="64.81"/>
    <x v="1"/>
    <n v="7"/>
    <x v="1"/>
  </r>
  <r>
    <s v="ORD10423"/>
    <d v="2025-04-21T00:00:00"/>
    <x v="4"/>
    <s v="Madhya Pradesh"/>
    <s v="Indore"/>
    <x v="2"/>
    <x v="8"/>
    <n v="1"/>
    <n v="5476.01"/>
    <n v="0"/>
    <n v="5476.01"/>
    <n v="3564.88"/>
    <n v="1911.13"/>
    <x v="1"/>
    <n v="4"/>
    <x v="9"/>
  </r>
  <r>
    <s v="ORD10424"/>
    <d v="2024-04-09T00:00:00"/>
    <x v="0"/>
    <s v="Odisha"/>
    <s v="Cuttack"/>
    <x v="2"/>
    <x v="11"/>
    <n v="1"/>
    <n v="14732.84"/>
    <n v="0"/>
    <n v="14732.84"/>
    <n v="11359.02"/>
    <n v="3373.82"/>
    <x v="0"/>
    <n v="4"/>
    <x v="0"/>
  </r>
  <r>
    <s v="ORD10425"/>
    <d v="2025-06-19T00:00:00"/>
    <x v="3"/>
    <s v="Andhra Pradesh"/>
    <s v="Vijayawada"/>
    <x v="1"/>
    <x v="3"/>
    <n v="1"/>
    <n v="203.96"/>
    <n v="0"/>
    <n v="203.96"/>
    <n v="147.87"/>
    <n v="56.09"/>
    <x v="1"/>
    <n v="6"/>
    <x v="17"/>
  </r>
  <r>
    <s v="ORD10426"/>
    <d v="2024-02-05T00:00:00"/>
    <x v="1"/>
    <s v="Punjab"/>
    <s v="Amritsar"/>
    <x v="1"/>
    <x v="9"/>
    <n v="1"/>
    <n v="1900.67"/>
    <n v="0.05"/>
    <n v="1805.64"/>
    <n v="1229.6400000000001"/>
    <n v="576"/>
    <x v="0"/>
    <n v="2"/>
    <x v="4"/>
  </r>
  <r>
    <s v="ORD10427"/>
    <d v="2024-07-16T00:00:00"/>
    <x v="2"/>
    <s v="Maharashtra"/>
    <s v="Pune"/>
    <x v="0"/>
    <x v="2"/>
    <n v="1"/>
    <n v="18547.78"/>
    <n v="0"/>
    <n v="18547.78"/>
    <n v="16563.169999999998"/>
    <n v="1984.61"/>
    <x v="0"/>
    <n v="7"/>
    <x v="11"/>
  </r>
  <r>
    <s v="ORD10428"/>
    <d v="2024-05-31T00:00:00"/>
    <x v="1"/>
    <s v="Haryana"/>
    <s v="Faridabad"/>
    <x v="2"/>
    <x v="8"/>
    <n v="1"/>
    <n v="4001.63"/>
    <n v="0"/>
    <n v="4001.63"/>
    <n v="3233.32"/>
    <n v="768.31"/>
    <x v="0"/>
    <n v="5"/>
    <x v="16"/>
  </r>
  <r>
    <s v="ORD10429"/>
    <d v="2025-07-19T00:00:00"/>
    <x v="4"/>
    <s v="Chhattisgarh"/>
    <s v="Bilaspur"/>
    <x v="0"/>
    <x v="5"/>
    <n v="1"/>
    <n v="48243.360000000001"/>
    <n v="0"/>
    <n v="48243.360000000001"/>
    <n v="44866.32"/>
    <n v="3377.04"/>
    <x v="1"/>
    <n v="7"/>
    <x v="1"/>
  </r>
  <r>
    <s v="ORD10430"/>
    <d v="2024-04-25T00:00:00"/>
    <x v="3"/>
    <s v="Tamil Nadu"/>
    <s v="Chennai"/>
    <x v="2"/>
    <x v="10"/>
    <n v="2"/>
    <n v="15401.57"/>
    <n v="0"/>
    <n v="30803.14"/>
    <n v="25073.759999999998"/>
    <n v="5729.38"/>
    <x v="0"/>
    <n v="4"/>
    <x v="0"/>
  </r>
  <r>
    <s v="ORD10431"/>
    <d v="2024-04-12T00:00:00"/>
    <x v="0"/>
    <s v="Bengal"/>
    <s v="Siliguri"/>
    <x v="2"/>
    <x v="6"/>
    <n v="1"/>
    <n v="22191.55"/>
    <n v="0"/>
    <n v="22191.55"/>
    <n v="18152.689999999999"/>
    <n v="4038.86"/>
    <x v="0"/>
    <n v="4"/>
    <x v="0"/>
  </r>
  <r>
    <s v="ORD10432"/>
    <d v="2025-05-12T00:00:00"/>
    <x v="1"/>
    <s v="Uttar Pradesh"/>
    <s v="Lucknow"/>
    <x v="0"/>
    <x v="4"/>
    <n v="1"/>
    <n v="34028.99"/>
    <n v="0"/>
    <n v="34028.99"/>
    <n v="26610.67"/>
    <n v="7418.32"/>
    <x v="1"/>
    <n v="5"/>
    <x v="12"/>
  </r>
  <r>
    <s v="ORD10433"/>
    <d v="2025-02-15T00:00:00"/>
    <x v="0"/>
    <s v="Jharkhand"/>
    <s v="Jamshedpur"/>
    <x v="2"/>
    <x v="11"/>
    <n v="1"/>
    <n v="3133.69"/>
    <n v="0"/>
    <n v="3133.69"/>
    <n v="2804.65"/>
    <n v="329.04"/>
    <x v="1"/>
    <n v="2"/>
    <x v="8"/>
  </r>
  <r>
    <s v="ORD10434"/>
    <d v="2024-10-02T00:00:00"/>
    <x v="4"/>
    <s v="Madhya Pradesh"/>
    <s v="Indore"/>
    <x v="1"/>
    <x v="3"/>
    <n v="3"/>
    <n v="596.67999999999995"/>
    <n v="0"/>
    <n v="1790.04"/>
    <n v="1192.17"/>
    <n v="597.87"/>
    <x v="0"/>
    <n v="10"/>
    <x v="19"/>
  </r>
  <r>
    <s v="ORD10435"/>
    <d v="2024-04-10T00:00:00"/>
    <x v="2"/>
    <s v="Maharashtra"/>
    <s v="Pune"/>
    <x v="2"/>
    <x v="7"/>
    <n v="1"/>
    <n v="19802.71"/>
    <n v="0"/>
    <n v="19802.71"/>
    <n v="17208.55"/>
    <n v="2594.16"/>
    <x v="0"/>
    <n v="4"/>
    <x v="0"/>
  </r>
  <r>
    <s v="ORD10436"/>
    <d v="2025-03-02T00:00:00"/>
    <x v="1"/>
    <s v="Delhi"/>
    <s v="New Delhi"/>
    <x v="1"/>
    <x v="9"/>
    <n v="1"/>
    <n v="1831.19"/>
    <n v="0"/>
    <n v="1831.19"/>
    <n v="1514.39"/>
    <n v="316.8"/>
    <x v="1"/>
    <n v="3"/>
    <x v="10"/>
  </r>
  <r>
    <s v="ORD10437"/>
    <d v="2025-05-11T00:00:00"/>
    <x v="1"/>
    <s v="Haryana"/>
    <s v="Gurugram"/>
    <x v="2"/>
    <x v="11"/>
    <n v="1"/>
    <n v="3509.19"/>
    <n v="0"/>
    <n v="3509.19"/>
    <n v="3168.8"/>
    <n v="340.39"/>
    <x v="1"/>
    <n v="5"/>
    <x v="12"/>
  </r>
  <r>
    <s v="ORD10438"/>
    <d v="2025-02-17T00:00:00"/>
    <x v="2"/>
    <s v="Gujarat"/>
    <s v="Ahmedabad"/>
    <x v="0"/>
    <x v="0"/>
    <n v="2"/>
    <n v="70388.899999999994"/>
    <n v="0"/>
    <n v="140777.79999999999"/>
    <n v="105864.91"/>
    <n v="34912.89"/>
    <x v="1"/>
    <n v="2"/>
    <x v="8"/>
  </r>
  <r>
    <s v="ORD10439"/>
    <d v="2024-02-29T00:00:00"/>
    <x v="2"/>
    <s v="Maharashtra"/>
    <s v="Pune"/>
    <x v="0"/>
    <x v="4"/>
    <n v="1"/>
    <n v="57256.81"/>
    <n v="0"/>
    <n v="57256.81"/>
    <n v="50557.760000000002"/>
    <n v="6699.05"/>
    <x v="0"/>
    <n v="2"/>
    <x v="4"/>
  </r>
  <r>
    <s v="ORD10440"/>
    <d v="2025-04-20T00:00:00"/>
    <x v="1"/>
    <s v="Uttar Pradesh"/>
    <s v="Lucknow"/>
    <x v="2"/>
    <x v="8"/>
    <n v="1"/>
    <n v="7564.58"/>
    <n v="0"/>
    <n v="7564.58"/>
    <n v="5658.31"/>
    <n v="1906.27"/>
    <x v="1"/>
    <n v="4"/>
    <x v="9"/>
  </r>
  <r>
    <s v="ORD10441"/>
    <d v="2025-04-01T00:00:00"/>
    <x v="2"/>
    <s v="Goa"/>
    <s v="Margao"/>
    <x v="1"/>
    <x v="9"/>
    <n v="1"/>
    <n v="1683.42"/>
    <n v="0"/>
    <n v="1683.42"/>
    <n v="1547.06"/>
    <n v="136.36000000000001"/>
    <x v="1"/>
    <n v="4"/>
    <x v="9"/>
  </r>
  <r>
    <s v="ORD10442"/>
    <d v="2024-04-02T00:00:00"/>
    <x v="4"/>
    <s v="Madhya Pradesh"/>
    <s v="Indore"/>
    <x v="0"/>
    <x v="0"/>
    <n v="2"/>
    <n v="68744.240000000005"/>
    <n v="0"/>
    <n v="137488.48000000001"/>
    <n v="123189.68"/>
    <n v="14298.8"/>
    <x v="0"/>
    <n v="4"/>
    <x v="0"/>
  </r>
  <r>
    <s v="ORD10443"/>
    <d v="2024-08-07T00:00:00"/>
    <x v="2"/>
    <s v="Gujarat"/>
    <s v="Ahmedabad"/>
    <x v="2"/>
    <x v="11"/>
    <n v="2"/>
    <n v="8188.92"/>
    <n v="0"/>
    <n v="16377.84"/>
    <n v="14396.12"/>
    <n v="1981.72"/>
    <x v="0"/>
    <n v="8"/>
    <x v="6"/>
  </r>
  <r>
    <s v="ORD10444"/>
    <d v="2024-01-21T00:00:00"/>
    <x v="0"/>
    <s v="Jharkhand"/>
    <s v="Ranchi"/>
    <x v="2"/>
    <x v="11"/>
    <n v="1"/>
    <n v="15826.26"/>
    <n v="0.1"/>
    <n v="14243.63"/>
    <n v="12491.66"/>
    <n v="1751.97"/>
    <x v="0"/>
    <n v="1"/>
    <x v="2"/>
  </r>
  <r>
    <s v="ORD10445"/>
    <d v="2024-11-08T00:00:00"/>
    <x v="4"/>
    <s v="Chhattisgarh"/>
    <s v="Bilaspur"/>
    <x v="1"/>
    <x v="12"/>
    <n v="2"/>
    <n v="541.4"/>
    <n v="0"/>
    <n v="1082.8"/>
    <n v="750.38"/>
    <n v="332.42"/>
    <x v="0"/>
    <n v="11"/>
    <x v="14"/>
  </r>
  <r>
    <s v="ORD10446"/>
    <d v="2025-06-17T00:00:00"/>
    <x v="1"/>
    <s v="Uttar Pradesh"/>
    <s v="Lucknow"/>
    <x v="0"/>
    <x v="5"/>
    <n v="2"/>
    <n v="79956.06"/>
    <n v="0"/>
    <n v="159912.12"/>
    <n v="132886.97"/>
    <n v="27025.15"/>
    <x v="1"/>
    <n v="6"/>
    <x v="17"/>
  </r>
  <r>
    <s v="ORD10447"/>
    <d v="2025-01-18T00:00:00"/>
    <x v="1"/>
    <s v="Haryana"/>
    <s v="Faridabad"/>
    <x v="2"/>
    <x v="8"/>
    <n v="2"/>
    <n v="13079.98"/>
    <n v="0"/>
    <n v="26159.96"/>
    <n v="23256.2"/>
    <n v="2903.76"/>
    <x v="1"/>
    <n v="1"/>
    <x v="5"/>
  </r>
  <r>
    <s v="ORD10448"/>
    <d v="2024-10-10T00:00:00"/>
    <x v="4"/>
    <s v="Chhattisgarh"/>
    <s v="Bilaspur"/>
    <x v="2"/>
    <x v="6"/>
    <n v="1"/>
    <n v="6332.28"/>
    <n v="0"/>
    <n v="6332.28"/>
    <n v="4312.28"/>
    <n v="2020"/>
    <x v="0"/>
    <n v="10"/>
    <x v="19"/>
  </r>
  <r>
    <s v="ORD10449"/>
    <d v="2024-09-03T00:00:00"/>
    <x v="0"/>
    <s v="Jharkhand"/>
    <s v="Jamshedpur"/>
    <x v="2"/>
    <x v="11"/>
    <n v="1"/>
    <n v="18589.509999999998"/>
    <n v="0"/>
    <n v="18589.509999999998"/>
    <n v="17176.71"/>
    <n v="1412.8"/>
    <x v="0"/>
    <n v="9"/>
    <x v="7"/>
  </r>
  <r>
    <s v="ORD10450"/>
    <d v="2024-10-29T00:00:00"/>
    <x v="4"/>
    <s v="Chhattisgarh"/>
    <s v="Bilaspur"/>
    <x v="1"/>
    <x v="14"/>
    <n v="1"/>
    <n v="1186.9000000000001"/>
    <n v="0"/>
    <n v="1186.9000000000001"/>
    <n v="1118.06"/>
    <n v="68.84"/>
    <x v="0"/>
    <n v="10"/>
    <x v="19"/>
  </r>
  <r>
    <s v="ORD10451"/>
    <d v="2024-07-13T00:00:00"/>
    <x v="4"/>
    <s v="Madhya Pradesh"/>
    <s v="Indore"/>
    <x v="2"/>
    <x v="6"/>
    <n v="1"/>
    <n v="13668.24"/>
    <n v="0"/>
    <n v="13668.24"/>
    <n v="10592.89"/>
    <n v="3075.35"/>
    <x v="0"/>
    <n v="7"/>
    <x v="11"/>
  </r>
  <r>
    <s v="ORD10452"/>
    <d v="2025-07-25T00:00:00"/>
    <x v="2"/>
    <s v="Goa"/>
    <s v="Panaji"/>
    <x v="1"/>
    <x v="9"/>
    <n v="1"/>
    <n v="1494.79"/>
    <n v="0"/>
    <n v="1494.79"/>
    <n v="1019.45"/>
    <n v="475.34"/>
    <x v="1"/>
    <n v="7"/>
    <x v="1"/>
  </r>
  <r>
    <s v="ORD10453"/>
    <d v="2025-07-26T00:00:00"/>
    <x v="2"/>
    <s v="Gujarat"/>
    <s v="Surat"/>
    <x v="2"/>
    <x v="8"/>
    <n v="2"/>
    <n v="7111.83"/>
    <n v="0"/>
    <n v="14223.66"/>
    <n v="12047.44"/>
    <n v="2176.2199999999998"/>
    <x v="1"/>
    <n v="7"/>
    <x v="1"/>
  </r>
  <r>
    <s v="ORD10454"/>
    <d v="2024-11-10T00:00:00"/>
    <x v="3"/>
    <s v="Kerala"/>
    <s v="Thiruvananthapuram"/>
    <x v="1"/>
    <x v="13"/>
    <n v="1"/>
    <n v="623.4"/>
    <n v="0"/>
    <n v="623.4"/>
    <n v="521.16"/>
    <n v="102.24"/>
    <x v="0"/>
    <n v="11"/>
    <x v="14"/>
  </r>
  <r>
    <s v="ORD10455"/>
    <d v="2025-04-26T00:00:00"/>
    <x v="0"/>
    <s v="Bengal"/>
    <s v="Siliguri"/>
    <x v="0"/>
    <x v="5"/>
    <n v="1"/>
    <n v="12225.83"/>
    <n v="0"/>
    <n v="12225.83"/>
    <n v="10636.47"/>
    <n v="1589.36"/>
    <x v="1"/>
    <n v="4"/>
    <x v="9"/>
  </r>
  <r>
    <s v="ORD10456"/>
    <d v="2025-06-26T00:00:00"/>
    <x v="4"/>
    <s v="Chhattisgarh"/>
    <s v="Raipur"/>
    <x v="0"/>
    <x v="0"/>
    <n v="1"/>
    <n v="79410.78"/>
    <n v="0"/>
    <n v="79410.78"/>
    <n v="65672.72"/>
    <n v="13738.06"/>
    <x v="1"/>
    <n v="6"/>
    <x v="17"/>
  </r>
  <r>
    <s v="ORD10457"/>
    <d v="2025-08-06T00:00:00"/>
    <x v="3"/>
    <s v="Tamil Nadu"/>
    <s v="Coimbatore"/>
    <x v="2"/>
    <x v="11"/>
    <n v="1"/>
    <n v="19915.650000000001"/>
    <n v="0"/>
    <n v="19915.650000000001"/>
    <n v="16310.92"/>
    <n v="3604.73"/>
    <x v="1"/>
    <n v="8"/>
    <x v="15"/>
  </r>
  <r>
    <s v="ORD10458"/>
    <d v="2024-06-30T00:00:00"/>
    <x v="4"/>
    <s v="Madhya Pradesh"/>
    <s v="Bhopal"/>
    <x v="1"/>
    <x v="3"/>
    <n v="1"/>
    <n v="458.3"/>
    <n v="0"/>
    <n v="458.3"/>
    <n v="304.77"/>
    <n v="153.53"/>
    <x v="0"/>
    <n v="6"/>
    <x v="18"/>
  </r>
  <r>
    <s v="ORD10459"/>
    <d v="2025-08-13T00:00:00"/>
    <x v="2"/>
    <s v="Goa"/>
    <s v="Panaji"/>
    <x v="0"/>
    <x v="5"/>
    <n v="2"/>
    <n v="36395.78"/>
    <n v="0"/>
    <n v="72791.56"/>
    <n v="66094.740000000005"/>
    <n v="6696.82"/>
    <x v="1"/>
    <n v="8"/>
    <x v="15"/>
  </r>
  <r>
    <s v="ORD10460"/>
    <d v="2025-03-15T00:00:00"/>
    <x v="3"/>
    <s v="Andhra Pradesh"/>
    <s v="Vijayawada"/>
    <x v="0"/>
    <x v="5"/>
    <n v="3"/>
    <n v="18354.900000000001"/>
    <n v="0"/>
    <n v="55064.7"/>
    <n v="44272.02"/>
    <n v="10792.68"/>
    <x v="1"/>
    <n v="3"/>
    <x v="10"/>
  </r>
  <r>
    <s v="ORD10461"/>
    <d v="2024-01-15T00:00:00"/>
    <x v="4"/>
    <s v="Madhya Pradesh"/>
    <s v="Bhopal"/>
    <x v="2"/>
    <x v="8"/>
    <n v="3"/>
    <n v="16413.8"/>
    <n v="0"/>
    <n v="49241.4"/>
    <n v="34961.39"/>
    <n v="14280.01"/>
    <x v="0"/>
    <n v="1"/>
    <x v="2"/>
  </r>
  <r>
    <s v="ORD10462"/>
    <d v="2024-12-18T00:00:00"/>
    <x v="4"/>
    <s v="Madhya Pradesh"/>
    <s v="Bhopal"/>
    <x v="1"/>
    <x v="13"/>
    <n v="1"/>
    <n v="1197.9100000000001"/>
    <n v="0.05"/>
    <n v="1138.01"/>
    <n v="1073.1400000000001"/>
    <n v="64.87"/>
    <x v="0"/>
    <n v="12"/>
    <x v="3"/>
  </r>
  <r>
    <s v="ORD10463"/>
    <d v="2024-11-01T00:00:00"/>
    <x v="4"/>
    <s v="Chhattisgarh"/>
    <s v="Bilaspur"/>
    <x v="1"/>
    <x v="9"/>
    <n v="1"/>
    <n v="718.33"/>
    <n v="0"/>
    <n v="718.33"/>
    <n v="566.04"/>
    <n v="152.29"/>
    <x v="0"/>
    <n v="11"/>
    <x v="14"/>
  </r>
  <r>
    <s v="ORD10464"/>
    <d v="2025-01-02T00:00:00"/>
    <x v="2"/>
    <s v="Maharashtra"/>
    <s v="Pune"/>
    <x v="0"/>
    <x v="0"/>
    <n v="1"/>
    <n v="20272.740000000002"/>
    <n v="0"/>
    <n v="20272.740000000002"/>
    <n v="17698.099999999999"/>
    <n v="2574.64"/>
    <x v="1"/>
    <n v="1"/>
    <x v="5"/>
  </r>
  <r>
    <s v="ORD10465"/>
    <d v="2024-08-04T00:00:00"/>
    <x v="0"/>
    <s v="Assam"/>
    <s v="Guwahati"/>
    <x v="1"/>
    <x v="14"/>
    <n v="1"/>
    <n v="781.63"/>
    <n v="0"/>
    <n v="781.63"/>
    <n v="547.14"/>
    <n v="234.49"/>
    <x v="0"/>
    <n v="8"/>
    <x v="6"/>
  </r>
  <r>
    <s v="ORD10466"/>
    <d v="2025-07-01T00:00:00"/>
    <x v="1"/>
    <s v="Delhi"/>
    <s v="New Delhi"/>
    <x v="2"/>
    <x v="8"/>
    <n v="5"/>
    <n v="17032.060000000001"/>
    <n v="0.15"/>
    <n v="72386.259999999995"/>
    <n v="57329.919999999998"/>
    <n v="15056.34"/>
    <x v="1"/>
    <n v="7"/>
    <x v="1"/>
  </r>
  <r>
    <s v="ORD10467"/>
    <d v="2024-04-28T00:00:00"/>
    <x v="3"/>
    <s v="Andhra Pradesh"/>
    <s v="Visakhapatnam"/>
    <x v="0"/>
    <x v="5"/>
    <n v="1"/>
    <n v="22460.85"/>
    <n v="0"/>
    <n v="22460.85"/>
    <n v="19496.02"/>
    <n v="2964.83"/>
    <x v="0"/>
    <n v="4"/>
    <x v="0"/>
  </r>
  <r>
    <s v="ORD10468"/>
    <d v="2024-07-29T00:00:00"/>
    <x v="0"/>
    <s v="Odisha"/>
    <s v="Cuttack"/>
    <x v="2"/>
    <x v="8"/>
    <n v="1"/>
    <n v="17237.11"/>
    <n v="0"/>
    <n v="17237.11"/>
    <n v="11652.29"/>
    <n v="5584.82"/>
    <x v="0"/>
    <n v="7"/>
    <x v="11"/>
  </r>
  <r>
    <s v="ORD10469"/>
    <d v="2024-05-20T00:00:00"/>
    <x v="3"/>
    <s v="Karnataka"/>
    <s v="Bengaluru"/>
    <x v="1"/>
    <x v="14"/>
    <n v="1"/>
    <n v="1580.28"/>
    <n v="0"/>
    <n v="1580.28"/>
    <n v="1227.8800000000001"/>
    <n v="352.4"/>
    <x v="0"/>
    <n v="5"/>
    <x v="16"/>
  </r>
  <r>
    <s v="ORD10470"/>
    <d v="2024-07-23T00:00:00"/>
    <x v="4"/>
    <s v="Madhya Pradesh"/>
    <s v="Indore"/>
    <x v="2"/>
    <x v="7"/>
    <n v="1"/>
    <n v="8793.08"/>
    <n v="0.1"/>
    <n v="7913.77"/>
    <n v="6204.4"/>
    <n v="1709.37"/>
    <x v="0"/>
    <n v="7"/>
    <x v="11"/>
  </r>
  <r>
    <s v="ORD10471"/>
    <d v="2024-07-31T00:00:00"/>
    <x v="3"/>
    <s v="Kerala"/>
    <s v="Kochi"/>
    <x v="0"/>
    <x v="1"/>
    <n v="2"/>
    <n v="54715.75"/>
    <n v="0"/>
    <n v="109431.5"/>
    <n v="76711.48"/>
    <n v="32720.02"/>
    <x v="0"/>
    <n v="7"/>
    <x v="11"/>
  </r>
  <r>
    <s v="ORD10472"/>
    <d v="2025-08-10T00:00:00"/>
    <x v="3"/>
    <s v="Tamil Nadu"/>
    <s v="Chennai"/>
    <x v="2"/>
    <x v="8"/>
    <n v="1"/>
    <n v="18641.96"/>
    <n v="0.1"/>
    <n v="16777.759999999998"/>
    <n v="15888.54"/>
    <n v="889.22"/>
    <x v="1"/>
    <n v="8"/>
    <x v="15"/>
  </r>
  <r>
    <s v="ORD10473"/>
    <d v="2024-08-24T00:00:00"/>
    <x v="3"/>
    <s v="Kerala"/>
    <s v="Thiruvananthapuram"/>
    <x v="1"/>
    <x v="14"/>
    <n v="1"/>
    <n v="244.63"/>
    <n v="0.05"/>
    <n v="232.4"/>
    <n v="158.03"/>
    <n v="74.37"/>
    <x v="0"/>
    <n v="8"/>
    <x v="6"/>
  </r>
  <r>
    <s v="ORD10474"/>
    <d v="2024-10-24T00:00:00"/>
    <x v="4"/>
    <s v="Chhattisgarh"/>
    <s v="Bilaspur"/>
    <x v="2"/>
    <x v="8"/>
    <n v="3"/>
    <n v="4184.96"/>
    <n v="0"/>
    <n v="12554.88"/>
    <n v="9679.81"/>
    <n v="2875.07"/>
    <x v="0"/>
    <n v="10"/>
    <x v="19"/>
  </r>
  <r>
    <s v="ORD10475"/>
    <d v="2024-02-16T00:00:00"/>
    <x v="0"/>
    <s v="Assam"/>
    <s v="Guwahati"/>
    <x v="1"/>
    <x v="3"/>
    <n v="1"/>
    <n v="1794.33"/>
    <n v="0"/>
    <n v="1794.33"/>
    <n v="1345.75"/>
    <n v="448.58"/>
    <x v="0"/>
    <n v="2"/>
    <x v="4"/>
  </r>
  <r>
    <s v="ORD10476"/>
    <d v="2024-10-01T00:00:00"/>
    <x v="0"/>
    <s v="Odisha"/>
    <s v="Cuttack"/>
    <x v="0"/>
    <x v="1"/>
    <n v="1"/>
    <n v="33859.870000000003"/>
    <n v="0"/>
    <n v="33859.870000000003"/>
    <n v="22889.27"/>
    <n v="10970.6"/>
    <x v="0"/>
    <n v="10"/>
    <x v="19"/>
  </r>
  <r>
    <s v="ORD10477"/>
    <d v="2024-10-05T00:00:00"/>
    <x v="3"/>
    <s v="Andhra Pradesh"/>
    <s v="Visakhapatnam"/>
    <x v="2"/>
    <x v="11"/>
    <n v="1"/>
    <n v="4600.3"/>
    <n v="0"/>
    <n v="4600.3"/>
    <n v="3841.25"/>
    <n v="759.05"/>
    <x v="0"/>
    <n v="10"/>
    <x v="19"/>
  </r>
  <r>
    <s v="ORD10478"/>
    <d v="2024-03-01T00:00:00"/>
    <x v="2"/>
    <s v="Maharashtra"/>
    <s v="Pune"/>
    <x v="2"/>
    <x v="7"/>
    <n v="1"/>
    <n v="20452.09"/>
    <n v="0"/>
    <n v="20452.09"/>
    <n v="19143.16"/>
    <n v="1308.93"/>
    <x v="0"/>
    <n v="3"/>
    <x v="13"/>
  </r>
  <r>
    <s v="ORD10479"/>
    <d v="2024-07-04T00:00:00"/>
    <x v="1"/>
    <s v="Uttar Pradesh"/>
    <s v="Kanpur"/>
    <x v="2"/>
    <x v="8"/>
    <n v="1"/>
    <n v="21839.24"/>
    <n v="0"/>
    <n v="21839.24"/>
    <n v="15920.81"/>
    <n v="5918.43"/>
    <x v="0"/>
    <n v="7"/>
    <x v="11"/>
  </r>
  <r>
    <s v="ORD10480"/>
    <d v="2024-05-13T00:00:00"/>
    <x v="3"/>
    <s v="Andhra Pradesh"/>
    <s v="Vijayawada"/>
    <x v="1"/>
    <x v="12"/>
    <n v="1"/>
    <n v="139.65"/>
    <n v="0"/>
    <n v="139.65"/>
    <n v="107.39"/>
    <n v="32.26"/>
    <x v="0"/>
    <n v="5"/>
    <x v="16"/>
  </r>
  <r>
    <s v="ORD10481"/>
    <d v="2024-11-17T00:00:00"/>
    <x v="0"/>
    <s v="Assam"/>
    <s v="Dibrugarh"/>
    <x v="2"/>
    <x v="10"/>
    <n v="1"/>
    <n v="17829.560000000001"/>
    <n v="0"/>
    <n v="17829.560000000001"/>
    <n v="14852.02"/>
    <n v="2977.54"/>
    <x v="0"/>
    <n v="11"/>
    <x v="14"/>
  </r>
  <r>
    <s v="ORD10482"/>
    <d v="2025-03-19T00:00:00"/>
    <x v="2"/>
    <s v="Goa"/>
    <s v="Margao"/>
    <x v="2"/>
    <x v="7"/>
    <n v="1"/>
    <n v="5419.05"/>
    <n v="0"/>
    <n v="5419.05"/>
    <n v="4568.26"/>
    <n v="850.79"/>
    <x v="1"/>
    <n v="3"/>
    <x v="10"/>
  </r>
  <r>
    <s v="ORD10483"/>
    <d v="2024-02-25T00:00:00"/>
    <x v="0"/>
    <s v="Assam"/>
    <s v="Dibrugarh"/>
    <x v="1"/>
    <x v="9"/>
    <n v="2"/>
    <n v="195.99"/>
    <n v="0"/>
    <n v="391.98"/>
    <n v="337.49"/>
    <n v="54.49"/>
    <x v="0"/>
    <n v="2"/>
    <x v="4"/>
  </r>
  <r>
    <s v="ORD10484"/>
    <d v="2024-09-03T00:00:00"/>
    <x v="4"/>
    <s v="Chhattisgarh"/>
    <s v="Raipur"/>
    <x v="2"/>
    <x v="11"/>
    <n v="1"/>
    <n v="14661.4"/>
    <n v="0"/>
    <n v="14661.4"/>
    <n v="11831.75"/>
    <n v="2829.65"/>
    <x v="0"/>
    <n v="9"/>
    <x v="7"/>
  </r>
  <r>
    <s v="ORD10485"/>
    <d v="2024-08-28T00:00:00"/>
    <x v="0"/>
    <s v="Jharkhand"/>
    <s v="Jamshedpur"/>
    <x v="2"/>
    <x v="7"/>
    <n v="2"/>
    <n v="4024.46"/>
    <n v="0"/>
    <n v="8048.92"/>
    <n v="5384.73"/>
    <n v="2664.19"/>
    <x v="0"/>
    <n v="8"/>
    <x v="6"/>
  </r>
  <r>
    <s v="ORD10486"/>
    <d v="2024-11-19T00:00:00"/>
    <x v="0"/>
    <s v="Jharkhand"/>
    <s v="Ranchi"/>
    <x v="0"/>
    <x v="2"/>
    <n v="2"/>
    <n v="34750.07"/>
    <n v="0"/>
    <n v="69500.14"/>
    <n v="61577.120000000003"/>
    <n v="7923.02"/>
    <x v="0"/>
    <n v="11"/>
    <x v="14"/>
  </r>
  <r>
    <s v="ORD10487"/>
    <d v="2024-01-01T00:00:00"/>
    <x v="0"/>
    <s v="Odisha"/>
    <s v="Bhubaneswar"/>
    <x v="2"/>
    <x v="7"/>
    <n v="1"/>
    <n v="23858.17"/>
    <n v="0"/>
    <n v="23858.17"/>
    <n v="20780.47"/>
    <n v="3077.7"/>
    <x v="0"/>
    <n v="1"/>
    <x v="2"/>
  </r>
  <r>
    <s v="ORD10488"/>
    <d v="2024-02-25T00:00:00"/>
    <x v="2"/>
    <s v="Goa"/>
    <s v="Margao"/>
    <x v="2"/>
    <x v="10"/>
    <n v="1"/>
    <n v="15798.88"/>
    <n v="0"/>
    <n v="15798.88"/>
    <n v="14771.95"/>
    <n v="1026.93"/>
    <x v="0"/>
    <n v="2"/>
    <x v="4"/>
  </r>
  <r>
    <s v="ORD10489"/>
    <d v="2025-01-07T00:00:00"/>
    <x v="3"/>
    <s v="Karnataka"/>
    <s v="Bengaluru"/>
    <x v="2"/>
    <x v="11"/>
    <n v="1"/>
    <n v="2050.5300000000002"/>
    <n v="0"/>
    <n v="2050.5300000000002"/>
    <n v="1580.96"/>
    <n v="469.57"/>
    <x v="1"/>
    <n v="1"/>
    <x v="5"/>
  </r>
  <r>
    <s v="ORD10490"/>
    <d v="2024-10-25T00:00:00"/>
    <x v="1"/>
    <s v="Haryana"/>
    <s v="Gurugram"/>
    <x v="0"/>
    <x v="0"/>
    <n v="1"/>
    <n v="40916.5"/>
    <n v="0"/>
    <n v="40916.5"/>
    <n v="29418.959999999999"/>
    <n v="11497.54"/>
    <x v="0"/>
    <n v="10"/>
    <x v="19"/>
  </r>
  <r>
    <s v="ORD10491"/>
    <d v="2025-02-23T00:00:00"/>
    <x v="0"/>
    <s v="Odisha"/>
    <s v="Bhubaneswar"/>
    <x v="0"/>
    <x v="1"/>
    <n v="1"/>
    <n v="74626.649999999994"/>
    <n v="0"/>
    <n v="74626.649999999994"/>
    <n v="69178.899999999994"/>
    <n v="5447.75"/>
    <x v="1"/>
    <n v="2"/>
    <x v="8"/>
  </r>
  <r>
    <s v="ORD10492"/>
    <d v="2025-04-13T00:00:00"/>
    <x v="2"/>
    <s v="Gujarat"/>
    <s v="Surat"/>
    <x v="0"/>
    <x v="2"/>
    <n v="2"/>
    <n v="6580.53"/>
    <n v="0"/>
    <n v="13161.06"/>
    <n v="10542.01"/>
    <n v="2619.0500000000002"/>
    <x v="1"/>
    <n v="4"/>
    <x v="9"/>
  </r>
  <r>
    <s v="ORD10493"/>
    <d v="2025-08-25T00:00:00"/>
    <x v="0"/>
    <s v="Jharkhand"/>
    <s v="Jamshedpur"/>
    <x v="2"/>
    <x v="10"/>
    <n v="2"/>
    <n v="23992.38"/>
    <n v="0.1"/>
    <n v="43186.28"/>
    <n v="35412.75"/>
    <n v="7773.53"/>
    <x v="1"/>
    <n v="8"/>
    <x v="15"/>
  </r>
  <r>
    <s v="ORD10494"/>
    <d v="2024-01-05T00:00:00"/>
    <x v="1"/>
    <s v="Delhi"/>
    <s v="New Delhi"/>
    <x v="2"/>
    <x v="7"/>
    <n v="1"/>
    <n v="23260.53"/>
    <n v="0"/>
    <n v="23260.53"/>
    <n v="16375.41"/>
    <n v="6885.12"/>
    <x v="0"/>
    <n v="1"/>
    <x v="2"/>
  </r>
  <r>
    <s v="ORD10495"/>
    <d v="2024-06-30T00:00:00"/>
    <x v="1"/>
    <s v="Punjab"/>
    <s v="Amritsar"/>
    <x v="0"/>
    <x v="2"/>
    <n v="2"/>
    <n v="53629.18"/>
    <n v="0"/>
    <n v="107258.36"/>
    <n v="79585.7"/>
    <n v="27672.66"/>
    <x v="0"/>
    <n v="6"/>
    <x v="18"/>
  </r>
  <r>
    <s v="ORD10496"/>
    <d v="2024-11-25T00:00:00"/>
    <x v="1"/>
    <s v="Uttar Pradesh"/>
    <s v="Kanpur"/>
    <x v="2"/>
    <x v="11"/>
    <n v="1"/>
    <n v="8292.7099999999991"/>
    <n v="0"/>
    <n v="8292.7099999999991"/>
    <n v="6410.26"/>
    <n v="1882.45"/>
    <x v="0"/>
    <n v="11"/>
    <x v="14"/>
  </r>
  <r>
    <s v="ORD10497"/>
    <d v="2024-10-28T00:00:00"/>
    <x v="3"/>
    <s v="Tamil Nadu"/>
    <s v="Chennai"/>
    <x v="1"/>
    <x v="13"/>
    <n v="1"/>
    <n v="1415.03"/>
    <n v="0"/>
    <n v="1415.03"/>
    <n v="1306.07"/>
    <n v="108.96"/>
    <x v="0"/>
    <n v="10"/>
    <x v="19"/>
  </r>
  <r>
    <s v="ORD10498"/>
    <d v="2024-11-02T00:00:00"/>
    <x v="1"/>
    <s v="Haryana"/>
    <s v="Gurugram"/>
    <x v="0"/>
    <x v="0"/>
    <n v="3"/>
    <n v="51060.9"/>
    <n v="0"/>
    <n v="153182.70000000001"/>
    <n v="139243.07"/>
    <n v="13939.63"/>
    <x v="0"/>
    <n v="11"/>
    <x v="14"/>
  </r>
  <r>
    <s v="ORD10499"/>
    <d v="2024-12-19T00:00:00"/>
    <x v="2"/>
    <s v="Gujarat"/>
    <s v="Ahmedabad"/>
    <x v="2"/>
    <x v="10"/>
    <n v="4"/>
    <n v="17969.18"/>
    <n v="0"/>
    <n v="71876.72"/>
    <n v="58651.4"/>
    <n v="13225.32"/>
    <x v="0"/>
    <n v="1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57CDEB-F3B4-48C6-B021-9ACA15929609}" name="PT_KP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14">
    <pivotField dataField="1" showAll="0"/>
    <pivotField numFmtId="164" showAll="0"/>
    <pivotField showAll="0"/>
    <pivotField showAll="0"/>
    <pivotField showAll="0"/>
    <pivotField showAll="0"/>
    <pivotField showAll="0"/>
    <pivotField dataField="1" showAll="0"/>
    <pivotField showAll="0"/>
    <pivotField showAll="0"/>
    <pivotField dataField="1" showAll="0"/>
    <pivotField showAll="0"/>
    <pivotField dataField="1" showAll="0"/>
    <pivotField dataField="1" dragToRow="0" dragToCol="0" dragToPage="0" showAll="0" defaultSubtotal="0"/>
  </pivotFields>
  <rowItems count="1">
    <i/>
  </rowItems>
  <colFields count="1">
    <field x="-2"/>
  </colFields>
  <colItems count="6">
    <i>
      <x/>
    </i>
    <i i="1">
      <x v="1"/>
    </i>
    <i i="2">
      <x v="2"/>
    </i>
    <i i="3">
      <x v="3"/>
    </i>
    <i i="4">
      <x v="4"/>
    </i>
    <i i="5">
      <x v="5"/>
    </i>
  </colItems>
  <dataFields count="6">
    <dataField name="Total Sales" fld="10" baseField="0" baseItem="1" numFmtId="165"/>
    <dataField name="Total Profit" fld="12" baseField="0" baseItem="1" numFmtId="165"/>
    <dataField name="Units Sold" fld="7" baseField="0" baseItem="0"/>
    <dataField name="Orders" fld="0" subtotal="count" baseField="0" baseItem="0"/>
    <dataField name="Average Order Value" fld="10" subtotal="average" baseField="0" baseItem="4" numFmtId="165"/>
    <dataField name="Profit Margin %" fld="13" baseField="0" baseItem="0" numFmtId="10"/>
  </dataFields>
  <formats count="7">
    <format dxfId="6">
      <pivotArea outline="0" collapsedLevelsAreSubtotals="1" fieldPosition="0">
        <references count="1">
          <reference field="4294967294" count="1" selected="0">
            <x v="5"/>
          </reference>
        </references>
      </pivotArea>
    </format>
    <format dxfId="5">
      <pivotArea outline="0" collapsedLevelsAreSubtotals="1" fieldPosition="0">
        <references count="1">
          <reference field="4294967294" count="1" selected="0">
            <x v="4"/>
          </reference>
        </references>
      </pivotArea>
    </format>
    <format dxfId="4">
      <pivotArea outline="0" collapsedLevelsAreSubtotals="1" fieldPosition="0">
        <references count="1">
          <reference field="4294967294" count="2" selected="0">
            <x v="0"/>
            <x v="1"/>
          </reference>
        </references>
      </pivotArea>
    </format>
    <format dxfId="3">
      <pivotArea type="all" dataOnly="0" outline="0" fieldPosition="0"/>
    </format>
    <format dxfId="2">
      <pivotArea outline="0" collapsedLevelsAreSubtotals="1" fieldPosition="0"/>
    </format>
    <format dxfId="1">
      <pivotArea dataOnly="0" labelOnly="1" outline="0" fieldPosition="0">
        <references count="1">
          <reference field="4294967294" count="6">
            <x v="0"/>
            <x v="1"/>
            <x v="2"/>
            <x v="3"/>
            <x v="4"/>
            <x v="5"/>
          </reference>
        </references>
      </pivotArea>
    </format>
    <format dxfId="0">
      <pivotArea outline="0" fieldPosition="0">
        <references count="1">
          <reference field="4294967294"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339510-2430-4509-BB99-2A635049D3F5}" name="PT_CategoryShar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A52:B56" firstHeaderRow="1" firstDataRow="1" firstDataCol="1"/>
  <pivotFields count="16">
    <pivotField showAll="0"/>
    <pivotField numFmtId="14" showAll="0"/>
    <pivotField showAll="0">
      <items count="6">
        <item x="4"/>
        <item x="0"/>
        <item x="1"/>
        <item x="3"/>
        <item x="2"/>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items count="3">
        <item x="0"/>
        <item x="1"/>
        <item t="default"/>
      </items>
    </pivotField>
    <pivotField showAll="0"/>
    <pivotField showAll="0"/>
  </pivotFields>
  <rowFields count="1">
    <field x="5"/>
  </rowFields>
  <rowItems count="4">
    <i>
      <x/>
    </i>
    <i>
      <x v="1"/>
    </i>
    <i>
      <x v="2"/>
    </i>
    <i t="grand">
      <x/>
    </i>
  </rowItems>
  <colItems count="1">
    <i/>
  </colItems>
  <dataFields count="1">
    <dataField name="Total Profit" fld="12" baseField="0" baseItem="0" numFmtId="165"/>
  </dataFields>
  <chartFormats count="4">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5" count="1" selected="0">
            <x v="0"/>
          </reference>
        </references>
      </pivotArea>
    </chartFormat>
    <chartFormat chart="5" format="3">
      <pivotArea type="data" outline="0" fieldPosition="0">
        <references count="2">
          <reference field="4294967294" count="1" selected="0">
            <x v="0"/>
          </reference>
          <reference field="5" count="1" selected="0">
            <x v="1"/>
          </reference>
        </references>
      </pivotArea>
    </chartFormat>
    <chartFormat chart="5" format="4">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5DF2E0-3F54-48FD-ABB3-7C1F7109A856}" name="PT_SalesByMonth"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YearMonth">
  <location ref="A9:B30" firstHeaderRow="1" firstDataRow="1" firstDataCol="1"/>
  <pivotFields count="16">
    <pivotField showAll="0"/>
    <pivotField numFmtId="14" showAll="0"/>
    <pivotField showAll="0">
      <items count="6">
        <item x="4"/>
        <item x="0"/>
        <item x="1"/>
        <item x="3"/>
        <item x="2"/>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items count="3">
        <item x="0"/>
        <item x="1"/>
        <item t="default"/>
      </items>
    </pivotField>
    <pivotField showAll="0"/>
    <pivotField axis="axisRow" showAll="0" sortType="ascending">
      <items count="21">
        <item x="2"/>
        <item x="4"/>
        <item x="13"/>
        <item x="0"/>
        <item x="16"/>
        <item x="18"/>
        <item x="11"/>
        <item x="6"/>
        <item x="7"/>
        <item x="19"/>
        <item x="14"/>
        <item x="3"/>
        <item x="5"/>
        <item x="8"/>
        <item x="10"/>
        <item x="9"/>
        <item x="12"/>
        <item x="17"/>
        <item x="1"/>
        <item x="15"/>
        <item t="default"/>
      </items>
    </pivotField>
  </pivotFields>
  <rowFields count="1">
    <field x="15"/>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Total Sales" fld="10" baseField="0" baseItem="0" numFmtId="165"/>
  </dataFields>
  <chartFormats count="1">
    <chartFormat chart="1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C98B0A-7E02-4D93-9B51-CEC09643B731}" name="PT_TopProduct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Product">
  <location ref="A61:B72" firstHeaderRow="1" firstDataRow="1" firstDataCol="1"/>
  <pivotFields count="16">
    <pivotField showAll="0"/>
    <pivotField numFmtId="14" showAll="0"/>
    <pivotField showAll="0">
      <items count="6">
        <item x="4"/>
        <item x="0"/>
        <item x="1"/>
        <item x="3"/>
        <item x="2"/>
        <item t="default"/>
      </items>
    </pivotField>
    <pivotField showAll="0"/>
    <pivotField showAll="0"/>
    <pivotField showAll="0">
      <items count="4">
        <item x="2"/>
        <item x="1"/>
        <item x="0"/>
        <item t="default"/>
      </items>
    </pivotField>
    <pivotField axis="axisRow" showAll="0" measureFilter="1" sortType="descending">
      <items count="16">
        <item x="10"/>
        <item x="9"/>
        <item x="2"/>
        <item x="4"/>
        <item x="3"/>
        <item x="14"/>
        <item x="0"/>
        <item x="1"/>
        <item x="5"/>
        <item x="13"/>
        <item x="12"/>
        <item x="8"/>
        <item x="11"/>
        <item x="7"/>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items count="3">
        <item x="0"/>
        <item x="1"/>
        <item t="default"/>
      </items>
    </pivotField>
    <pivotField showAll="0"/>
    <pivotField showAll="0"/>
  </pivotFields>
  <rowFields count="1">
    <field x="6"/>
  </rowFields>
  <rowItems count="11">
    <i>
      <x v="8"/>
    </i>
    <i>
      <x v="6"/>
    </i>
    <i>
      <x v="3"/>
    </i>
    <i>
      <x v="2"/>
    </i>
    <i>
      <x v="7"/>
    </i>
    <i>
      <x/>
    </i>
    <i>
      <x v="14"/>
    </i>
    <i>
      <x v="13"/>
    </i>
    <i>
      <x v="11"/>
    </i>
    <i>
      <x v="12"/>
    </i>
    <i t="grand">
      <x/>
    </i>
  </rowItems>
  <colItems count="1">
    <i/>
  </colItems>
  <dataFields count="1">
    <dataField name="Total Sales" fld="10" baseField="0" baseItem="0" numFmtId="165"/>
  </dataFields>
  <chartFormats count="1">
    <chartFormat chart="2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8B9CDA-FBE6-481D-97DF-5443E73CE1D6}" name="PT_CategoryShar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ategory">
  <location ref="A46:B50" firstHeaderRow="1" firstDataRow="1" firstDataCol="1"/>
  <pivotFields count="16">
    <pivotField showAll="0"/>
    <pivotField numFmtId="14" showAll="0"/>
    <pivotField showAll="0">
      <items count="6">
        <item x="4"/>
        <item x="0"/>
        <item x="1"/>
        <item x="3"/>
        <item x="2"/>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pivotField showAll="0">
      <items count="3">
        <item x="0"/>
        <item x="1"/>
        <item t="default"/>
      </items>
    </pivotField>
    <pivotField showAll="0"/>
    <pivotField showAll="0"/>
  </pivotFields>
  <rowFields count="1">
    <field x="5"/>
  </rowFields>
  <rowItems count="4">
    <i>
      <x/>
    </i>
    <i>
      <x v="1"/>
    </i>
    <i>
      <x v="2"/>
    </i>
    <i t="grand">
      <x/>
    </i>
  </rowItems>
  <colItems count="1">
    <i/>
  </colItems>
  <dataFields count="1">
    <dataField name="Total Sales" fld="10" baseField="0" baseItem="0" numFmtId="165"/>
  </dataFields>
  <chartFormats count="4">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5" count="1" selected="0">
            <x v="0"/>
          </reference>
        </references>
      </pivotArea>
    </chartFormat>
    <chartFormat chart="5" format="6">
      <pivotArea type="data" outline="0" fieldPosition="0">
        <references count="2">
          <reference field="4294967294" count="1" selected="0">
            <x v="0"/>
          </reference>
          <reference field="5" count="1" selected="0">
            <x v="1"/>
          </reference>
        </references>
      </pivotArea>
    </chartFormat>
    <chartFormat chart="5" format="7">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3AC425-A8AD-48AA-876E-B01A54EC2399}" name="PT_SalesByReg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Region">
  <location ref="A35:C41" firstHeaderRow="0" firstDataRow="1" firstDataCol="1"/>
  <pivotFields count="16">
    <pivotField showAll="0"/>
    <pivotField numFmtId="14" showAll="0"/>
    <pivotField axis="axisRow" showAll="0">
      <items count="6">
        <item x="4"/>
        <item x="0"/>
        <item x="1"/>
        <item x="3"/>
        <item x="2"/>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dataField="1" showAll="0"/>
    <pivotField showAll="0">
      <items count="3">
        <item x="0"/>
        <item x="1"/>
        <item t="default"/>
      </items>
    </pivotField>
    <pivotField showAll="0"/>
    <pivotField showAll="0"/>
  </pivotFields>
  <rowFields count="1">
    <field x="2"/>
  </rowFields>
  <rowItems count="6">
    <i>
      <x/>
    </i>
    <i>
      <x v="1"/>
    </i>
    <i>
      <x v="2"/>
    </i>
    <i>
      <x v="3"/>
    </i>
    <i>
      <x v="4"/>
    </i>
    <i t="grand">
      <x/>
    </i>
  </rowItems>
  <colFields count="1">
    <field x="-2"/>
  </colFields>
  <colItems count="2">
    <i>
      <x/>
    </i>
    <i i="1">
      <x v="1"/>
    </i>
  </colItems>
  <dataFields count="2">
    <dataField name="Total Sales" fld="10" baseField="0" baseItem="0" numFmtId="165"/>
    <dataField name="Total Profit" fld="12" baseField="0" baseItem="0" numFmtId="165"/>
  </dataFields>
  <formats count="2">
    <format dxfId="8">
      <pivotArea outline="0" collapsedLevelsAreSubtotals="1" fieldPosition="0">
        <references count="1">
          <reference field="4294967294" count="1" selected="0">
            <x v="0"/>
          </reference>
        </references>
      </pivotArea>
    </format>
    <format dxfId="7">
      <pivotArea outline="0" collapsedLevelsAreSubtotals="1" fieldPosition="0">
        <references count="1">
          <reference field="4294967294" count="1" selected="0">
            <x v="1"/>
          </reference>
        </references>
      </pivotArea>
    </format>
  </formats>
  <chartFormats count="7">
    <chartFormat chart="13" format="7"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1"/>
          </reference>
        </references>
      </pivotArea>
    </chartFormat>
    <chartFormat chart="13" format="9">
      <pivotArea type="data" outline="0" fieldPosition="0">
        <references count="2">
          <reference field="4294967294" count="1" selected="0">
            <x v="1"/>
          </reference>
          <reference field="2" count="1" selected="0">
            <x v="0"/>
          </reference>
        </references>
      </pivotArea>
    </chartFormat>
    <chartFormat chart="13" format="10">
      <pivotArea type="data" outline="0" fieldPosition="0">
        <references count="2">
          <reference field="4294967294" count="1" selected="0">
            <x v="1"/>
          </reference>
          <reference field="2" count="1" selected="0">
            <x v="1"/>
          </reference>
        </references>
      </pivotArea>
    </chartFormat>
    <chartFormat chart="13" format="11">
      <pivotArea type="data" outline="0" fieldPosition="0">
        <references count="2">
          <reference field="4294967294" count="1" selected="0">
            <x v="1"/>
          </reference>
          <reference field="2" count="1" selected="0">
            <x v="2"/>
          </reference>
        </references>
      </pivotArea>
    </chartFormat>
    <chartFormat chart="13" format="12">
      <pivotArea type="data" outline="0" fieldPosition="0">
        <references count="2">
          <reference field="4294967294" count="1" selected="0">
            <x v="1"/>
          </reference>
          <reference field="2" count="1" selected="0">
            <x v="3"/>
          </reference>
        </references>
      </pivotArea>
    </chartFormat>
    <chartFormat chart="13" format="13">
      <pivotArea type="data" outline="0" fieldPosition="0">
        <references count="2">
          <reference field="4294967294" count="1" selected="0">
            <x v="1"/>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1143BDA-7966-47E2-93E2-449024EE35C0}" autoFormatId="16" applyNumberFormats="0" applyBorderFormats="0" applyFontFormats="0" applyPatternFormats="0" applyAlignmentFormats="0" applyWidthHeightFormats="0">
  <queryTableRefresh nextId="17" unboundColumnsRight="3">
    <queryTableFields count="16">
      <queryTableField id="1" name="OrderID" tableColumnId="14"/>
      <queryTableField id="2" name="OrderDate" tableColumnId="2"/>
      <queryTableField id="3" name="Region" tableColumnId="3"/>
      <queryTableField id="4" name="State" tableColumnId="4"/>
      <queryTableField id="5" name="City" tableColumnId="5"/>
      <queryTableField id="6" name="Category" tableColumnId="6"/>
      <queryTableField id="7" name="Product" tableColumnId="7"/>
      <queryTableField id="8" name="Quantity" tableColumnId="8"/>
      <queryTableField id="9" name="UnitPrice" tableColumnId="9"/>
      <queryTableField id="10" name="Discount" tableColumnId="10"/>
      <queryTableField id="11" name="Sales" tableColumnId="11"/>
      <queryTableField id="12" name="Cost" tableColumnId="12"/>
      <queryTableField id="13" name="Profit" tableColumnId="13"/>
      <queryTableField id="14" dataBound="0" tableColumnId="15"/>
      <queryTableField id="15" dataBound="0" tableColumnId="16"/>
      <queryTableField id="16"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60C05BE-5B00-40E1-803B-0A16372CF536}" sourceName="Category">
  <pivotTables>
    <pivotTable tabId="5" name="PT_SalesByRegion"/>
    <pivotTable tabId="5" name="PT_CategoryShare"/>
    <pivotTable tabId="5" name="PT_SalesByMonth"/>
    <pivotTable tabId="5" name="PT_TopProducts"/>
    <pivotTable tabId="5" name="PT_CategoryShare2"/>
  </pivotTables>
  <data>
    <tabular pivotCacheId="152579813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53640B2-B6DB-4FEB-B914-33907ABA531E}" sourceName="Region">
  <pivotTables>
    <pivotTable tabId="5" name="PT_SalesByRegion"/>
    <pivotTable tabId="5" name="PT_CategoryShare"/>
    <pivotTable tabId="5" name="PT_SalesByMonth"/>
    <pivotTable tabId="5" name="PT_TopProducts"/>
    <pivotTable tabId="5" name="PT_CategoryShare2"/>
  </pivotTables>
  <data>
    <tabular pivotCacheId="1525798138">
      <items count="5">
        <i x="4" s="1"/>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859D9E8-7D7B-42D0-891A-1EEB316A1B94}" sourceName="Year">
  <pivotTables>
    <pivotTable tabId="5" name="PT_SalesByRegion"/>
    <pivotTable tabId="5" name="PT_CategoryShare"/>
    <pivotTable tabId="5" name="PT_SalesByMonth"/>
    <pivotTable tabId="5" name="PT_TopProducts"/>
    <pivotTable tabId="5" name="PT_CategoryShare2"/>
  </pivotTables>
  <data>
    <tabular pivotCacheId="152579813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8C78382-5571-46F5-B8B7-F750253A49D8}" cache="Slicer_Category" caption="Category" startItem="1" rowHeight="234950"/>
  <slicer name="Region 1" xr10:uid="{2F2BBA09-2381-4026-9404-2BCA561713DE}" cache="Slicer_Region" caption="Region" startItem="3" rowHeight="234950"/>
  <slicer name="Year" xr10:uid="{832D3A3A-1380-4AA1-8B07-B6BE257454B6}" cache="Slicer_Year" caption="Year"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86C586-358E-48B1-BB2C-3E7A12AA9FEB}" name="SalesData" displayName="SalesData" ref="A1:M501" totalsRowShown="0" headerRowDxfId="26" headerRowBorderDxfId="25" tableBorderDxfId="24">
  <autoFilter ref="A1:M501" xr:uid="{4186C586-358E-48B1-BB2C-3E7A12AA9FEB}"/>
  <tableColumns count="13">
    <tableColumn id="1" xr3:uid="{9788F5B5-E2F9-47E8-8FC5-5BCC919A0E5E}" name="OrderID"/>
    <tableColumn id="2" xr3:uid="{E319BAB2-4DFD-4553-A80B-385870CF0508}" name="OrderDate" dataDxfId="23"/>
    <tableColumn id="3" xr3:uid="{47EAC46A-2F09-469A-AC4F-73B6011E898D}" name="Region"/>
    <tableColumn id="4" xr3:uid="{088C0792-489F-48AF-9EE6-192A03AA13B7}" name="State"/>
    <tableColumn id="5" xr3:uid="{3297BB3A-14FA-4A41-93CD-24F3D7FE7BD3}" name="City"/>
    <tableColumn id="6" xr3:uid="{62BD8500-FF5B-4555-A110-4F7DB3D1A901}" name="Category"/>
    <tableColumn id="7" xr3:uid="{63E6C4CC-C537-4357-87B5-A719E393092A}" name="Product"/>
    <tableColumn id="8" xr3:uid="{75C01323-AD2C-46F1-A6A5-8934F4B0DAE4}" name="Quantity"/>
    <tableColumn id="9" xr3:uid="{6F2BD7E5-E6EB-45AB-879B-CD4453A231A6}" name="UnitPrice"/>
    <tableColumn id="10" xr3:uid="{FA55A5F1-618A-4725-9221-368B87FB7499}" name="Discount"/>
    <tableColumn id="11" xr3:uid="{E0DBAB6C-C200-46AF-8366-1798894DBCBE}" name="Sales"/>
    <tableColumn id="12" xr3:uid="{54887A8B-DADF-4EB3-958D-B31A1FD95925}" name="Cost"/>
    <tableColumn id="13" xr3:uid="{1EA4D50D-4105-4AF5-A574-029E85A734DE}" name="Profi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0FC661-BAC6-4D4F-873D-9BC5F3439E25}" name="CleanedSalesData" displayName="CleanedSalesData" ref="A1:P501" tableType="queryTable" totalsRowShown="0">
  <autoFilter ref="A1:P501" xr:uid="{F90FC661-BAC6-4D4F-873D-9BC5F3439E25}"/>
  <tableColumns count="16">
    <tableColumn id="14" xr3:uid="{5EB13F4F-7E3C-4299-8060-9EB3187CDE1F}" uniqueName="14" name="OrderID" queryTableFieldId="1" dataDxfId="22"/>
    <tableColumn id="2" xr3:uid="{B81BE78D-1555-4E9D-AD3F-522CF17C4DEE}" uniqueName="2" name="OrderDate" queryTableFieldId="2" dataDxfId="21"/>
    <tableColumn id="3" xr3:uid="{DBC72184-88EF-4510-A937-57B64D2785FA}" uniqueName="3" name="Region" queryTableFieldId="3" dataDxfId="20"/>
    <tableColumn id="4" xr3:uid="{5F56381E-C5E2-44D4-A7B6-9AAC6BED2707}" uniqueName="4" name="State" queryTableFieldId="4" dataDxfId="19"/>
    <tableColumn id="5" xr3:uid="{157BCA93-8BEA-4FB9-8B6A-13BC6219DD6F}" uniqueName="5" name="City" queryTableFieldId="5" dataDxfId="18"/>
    <tableColumn id="6" xr3:uid="{2B3E203E-D1D7-4639-8B95-CAE275264EB1}" uniqueName="6" name="Category" queryTableFieldId="6" dataDxfId="17"/>
    <tableColumn id="7" xr3:uid="{F6C71B0F-E045-4F4C-9928-2D0AD62B345A}" uniqueName="7" name="Product" queryTableFieldId="7" dataDxfId="16"/>
    <tableColumn id="8" xr3:uid="{2777B42C-CF36-4A1A-AB4C-5A90A2F07066}" uniqueName="8" name="Quantity" queryTableFieldId="8"/>
    <tableColumn id="9" xr3:uid="{366EA161-4DCB-4F70-95F4-0ED6906EFAC7}" uniqueName="9" name="UnitPrice" queryTableFieldId="9" dataDxfId="15"/>
    <tableColumn id="10" xr3:uid="{742E215C-C263-4229-B46D-F8A193A29571}" uniqueName="10" name="Discount" queryTableFieldId="10"/>
    <tableColumn id="11" xr3:uid="{67DEDFCF-873A-49BA-B599-18D142B99EA5}" uniqueName="11" name="Sales" queryTableFieldId="11" dataDxfId="14"/>
    <tableColumn id="12" xr3:uid="{21369F9F-2946-484A-9FBD-A9F3B9440539}" uniqueName="12" name="Cost" queryTableFieldId="12" dataDxfId="13"/>
    <tableColumn id="13" xr3:uid="{3D4A60D0-DA02-4662-805B-31B2C51E2B55}" uniqueName="13" name="Profit" queryTableFieldId="13" dataDxfId="12"/>
    <tableColumn id="15" xr3:uid="{08D1CAC3-30FB-4C59-9DD0-63B3CF04EB8D}" uniqueName="15" name="Year" queryTableFieldId="14" dataDxfId="11">
      <calculatedColumnFormula>YEAR(CleanedSalesData[[#This Row],[OrderDate]])</calculatedColumnFormula>
    </tableColumn>
    <tableColumn id="16" xr3:uid="{3110C093-E970-4D7B-8169-2AC52350E48A}" uniqueName="16" name="Month" queryTableFieldId="15" dataDxfId="10">
      <calculatedColumnFormula>MONTH(CleanedSalesData[[#This Row],[OrderDate]])</calculatedColumnFormula>
    </tableColumn>
    <tableColumn id="17" xr3:uid="{CE8FD1BA-C997-4396-B6B1-81802C36AD23}" uniqueName="17" name="YearMonth" queryTableFieldId="16" dataDxfId="9">
      <calculatedColumnFormula>TEXT(CleanedSalesData[[#This Row],[OrderDate]], "yyyy-mm")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github.com/Aditya-Raj-Majumder" TargetMode="External"/><Relationship Id="rId1" Type="http://schemas.openxmlformats.org/officeDocument/2006/relationships/hyperlink" Target="https://www.linkedin.com/in/aditya-raj-majumder-600533250/"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795A9-7F8A-4583-B14F-046AB5080412}">
  <dimension ref="A1:B47"/>
  <sheetViews>
    <sheetView topLeftCell="A7" workbookViewId="0">
      <selection activeCell="B35" sqref="B35"/>
    </sheetView>
  </sheetViews>
  <sheetFormatPr defaultRowHeight="14.4" x14ac:dyDescent="0.3"/>
  <cols>
    <col min="1" max="1" width="26.88671875" style="15" bestFit="1" customWidth="1"/>
    <col min="2" max="2" width="159" style="14" bestFit="1" customWidth="1"/>
  </cols>
  <sheetData>
    <row r="1" spans="1:2" ht="21" x14ac:dyDescent="0.3">
      <c r="A1" s="23" t="s">
        <v>679</v>
      </c>
      <c r="B1" s="23"/>
    </row>
    <row r="3" spans="1:2" ht="15.6" x14ac:dyDescent="0.3">
      <c r="A3" s="17" t="s">
        <v>678</v>
      </c>
      <c r="B3" s="18" t="s">
        <v>626</v>
      </c>
    </row>
    <row r="4" spans="1:2" ht="15.6" x14ac:dyDescent="0.3">
      <c r="A4" s="17" t="s">
        <v>677</v>
      </c>
      <c r="B4" s="18" t="s">
        <v>676</v>
      </c>
    </row>
    <row r="5" spans="1:2" ht="15.6" x14ac:dyDescent="0.3">
      <c r="A5" s="17" t="s">
        <v>675</v>
      </c>
      <c r="B5" s="18" t="s">
        <v>674</v>
      </c>
    </row>
    <row r="6" spans="1:2" ht="15.6" x14ac:dyDescent="0.3">
      <c r="A6" s="21" t="s">
        <v>680</v>
      </c>
      <c r="B6" s="22" t="s">
        <v>681</v>
      </c>
    </row>
    <row r="7" spans="1:2" ht="15.6" x14ac:dyDescent="0.3">
      <c r="A7" s="21" t="s">
        <v>682</v>
      </c>
      <c r="B7" s="22" t="s">
        <v>683</v>
      </c>
    </row>
    <row r="8" spans="1:2" ht="15.6" x14ac:dyDescent="0.3">
      <c r="A8" s="17" t="s">
        <v>673</v>
      </c>
      <c r="B8" s="20">
        <v>45901</v>
      </c>
    </row>
    <row r="10" spans="1:2" ht="18" x14ac:dyDescent="0.35">
      <c r="A10" s="24" t="s">
        <v>672</v>
      </c>
      <c r="B10" s="24"/>
    </row>
    <row r="11" spans="1:2" ht="15.6" x14ac:dyDescent="0.3">
      <c r="A11" s="17" t="s">
        <v>671</v>
      </c>
      <c r="B11" s="18" t="s">
        <v>670</v>
      </c>
    </row>
    <row r="12" spans="1:2" ht="15.6" x14ac:dyDescent="0.3">
      <c r="A12" s="17" t="s">
        <v>669</v>
      </c>
      <c r="B12" s="18" t="s">
        <v>668</v>
      </c>
    </row>
    <row r="13" spans="1:2" ht="15.6" x14ac:dyDescent="0.3">
      <c r="A13" s="17" t="s">
        <v>667</v>
      </c>
      <c r="B13" s="18" t="s">
        <v>666</v>
      </c>
    </row>
    <row r="14" spans="1:2" ht="15.6" x14ac:dyDescent="0.3">
      <c r="A14" s="17" t="s">
        <v>665</v>
      </c>
      <c r="B14" s="18" t="s">
        <v>664</v>
      </c>
    </row>
    <row r="16" spans="1:2" ht="18" x14ac:dyDescent="0.35">
      <c r="A16" s="24" t="s">
        <v>663</v>
      </c>
      <c r="B16" s="24"/>
    </row>
    <row r="17" spans="1:2" ht="15.6" x14ac:dyDescent="0.3">
      <c r="A17" s="17" t="s">
        <v>662</v>
      </c>
      <c r="B17" s="18" t="s">
        <v>661</v>
      </c>
    </row>
    <row r="18" spans="1:2" ht="15.6" x14ac:dyDescent="0.3">
      <c r="A18" s="17" t="s">
        <v>660</v>
      </c>
      <c r="B18" s="18" t="s">
        <v>659</v>
      </c>
    </row>
    <row r="19" spans="1:2" ht="15.6" x14ac:dyDescent="0.3">
      <c r="A19" s="17" t="s">
        <v>658</v>
      </c>
      <c r="B19" s="18" t="s">
        <v>657</v>
      </c>
    </row>
    <row r="20" spans="1:2" ht="15.6" x14ac:dyDescent="0.3">
      <c r="A20" s="17" t="s">
        <v>656</v>
      </c>
      <c r="B20" s="18" t="s">
        <v>655</v>
      </c>
    </row>
    <row r="21" spans="1:2" ht="15.6" x14ac:dyDescent="0.3">
      <c r="A21" s="17" t="s">
        <v>654</v>
      </c>
      <c r="B21" s="18" t="s">
        <v>653</v>
      </c>
    </row>
    <row r="23" spans="1:2" ht="18" x14ac:dyDescent="0.35">
      <c r="A23" s="24" t="s">
        <v>652</v>
      </c>
      <c r="B23" s="24"/>
    </row>
    <row r="24" spans="1:2" ht="15.6" x14ac:dyDescent="0.3">
      <c r="A24" s="17" t="s">
        <v>609</v>
      </c>
      <c r="B24" s="18" t="s">
        <v>651</v>
      </c>
    </row>
    <row r="25" spans="1:2" ht="15.6" x14ac:dyDescent="0.3">
      <c r="A25" s="17" t="s">
        <v>610</v>
      </c>
      <c r="B25" s="18" t="s">
        <v>650</v>
      </c>
    </row>
    <row r="26" spans="1:2" ht="15.6" x14ac:dyDescent="0.3">
      <c r="A26" s="17" t="s">
        <v>611</v>
      </c>
      <c r="B26" s="18" t="s">
        <v>649</v>
      </c>
    </row>
    <row r="27" spans="1:2" ht="15.6" x14ac:dyDescent="0.3">
      <c r="A27" s="17" t="s">
        <v>648</v>
      </c>
      <c r="B27" s="18" t="s">
        <v>647</v>
      </c>
    </row>
    <row r="28" spans="1:2" ht="15.6" x14ac:dyDescent="0.3">
      <c r="A28" s="17" t="s">
        <v>646</v>
      </c>
      <c r="B28" s="18" t="s">
        <v>645</v>
      </c>
    </row>
    <row r="30" spans="1:2" ht="15.6" customHeight="1" x14ac:dyDescent="0.35">
      <c r="A30" s="24" t="s">
        <v>644</v>
      </c>
      <c r="B30" s="24"/>
    </row>
    <row r="31" spans="1:2" ht="15.6" customHeight="1" x14ac:dyDescent="0.3">
      <c r="A31" s="17" t="s">
        <v>638</v>
      </c>
      <c r="B31" s="18" t="s">
        <v>684</v>
      </c>
    </row>
    <row r="32" spans="1:2" ht="15.6" x14ac:dyDescent="0.3">
      <c r="A32" s="17" t="s">
        <v>636</v>
      </c>
      <c r="B32" s="18" t="s">
        <v>643</v>
      </c>
    </row>
    <row r="33" spans="1:2" ht="15.6" x14ac:dyDescent="0.3">
      <c r="A33" s="17" t="s">
        <v>634</v>
      </c>
      <c r="B33" s="18" t="s">
        <v>642</v>
      </c>
    </row>
    <row r="34" spans="1:2" ht="15.6" x14ac:dyDescent="0.3">
      <c r="A34" s="17" t="s">
        <v>632</v>
      </c>
      <c r="B34" s="18" t="s">
        <v>641</v>
      </c>
    </row>
    <row r="35" spans="1:2" ht="15.6" x14ac:dyDescent="0.3">
      <c r="A35" s="17" t="s">
        <v>630</v>
      </c>
      <c r="B35" s="19" t="s">
        <v>640</v>
      </c>
    </row>
    <row r="37" spans="1:2" ht="18" x14ac:dyDescent="0.35">
      <c r="A37" s="24" t="s">
        <v>639</v>
      </c>
      <c r="B37" s="24"/>
    </row>
    <row r="38" spans="1:2" ht="15.6" x14ac:dyDescent="0.3">
      <c r="A38" s="17" t="s">
        <v>638</v>
      </c>
      <c r="B38" s="18" t="s">
        <v>637</v>
      </c>
    </row>
    <row r="39" spans="1:2" ht="15.6" x14ac:dyDescent="0.3">
      <c r="A39" s="17" t="s">
        <v>636</v>
      </c>
      <c r="B39" s="18" t="s">
        <v>635</v>
      </c>
    </row>
    <row r="40" spans="1:2" ht="15.6" x14ac:dyDescent="0.3">
      <c r="A40" s="17" t="s">
        <v>634</v>
      </c>
      <c r="B40" s="18" t="s">
        <v>633</v>
      </c>
    </row>
    <row r="41" spans="1:2" ht="15.6" x14ac:dyDescent="0.3">
      <c r="A41" s="17" t="s">
        <v>632</v>
      </c>
      <c r="B41" s="18" t="s">
        <v>631</v>
      </c>
    </row>
    <row r="42" spans="1:2" ht="15.6" x14ac:dyDescent="0.3">
      <c r="A42" s="17" t="s">
        <v>630</v>
      </c>
      <c r="B42" s="18" t="s">
        <v>629</v>
      </c>
    </row>
    <row r="44" spans="1:2" ht="18" x14ac:dyDescent="0.35">
      <c r="A44" s="24" t="s">
        <v>628</v>
      </c>
      <c r="B44" s="24"/>
    </row>
    <row r="45" spans="1:2" ht="15.6" x14ac:dyDescent="0.3">
      <c r="A45" s="17" t="s">
        <v>627</v>
      </c>
      <c r="B45" s="18" t="s">
        <v>626</v>
      </c>
    </row>
    <row r="46" spans="1:2" ht="15.6" x14ac:dyDescent="0.3">
      <c r="A46" s="17" t="s">
        <v>625</v>
      </c>
      <c r="B46" s="16" t="s">
        <v>624</v>
      </c>
    </row>
    <row r="47" spans="1:2" ht="15.6" x14ac:dyDescent="0.3">
      <c r="A47" s="17" t="s">
        <v>623</v>
      </c>
      <c r="B47" s="16" t="s">
        <v>622</v>
      </c>
    </row>
  </sheetData>
  <mergeCells count="7">
    <mergeCell ref="A1:B1"/>
    <mergeCell ref="A10:B10"/>
    <mergeCell ref="A44:B44"/>
    <mergeCell ref="A37:B37"/>
    <mergeCell ref="A30:B30"/>
    <mergeCell ref="A23:B23"/>
    <mergeCell ref="A16:B16"/>
  </mergeCells>
  <hyperlinks>
    <hyperlink ref="B46" r:id="rId1" xr:uid="{FF29F4A4-D3E3-4E84-A16C-DB6F85EC0CFF}"/>
    <hyperlink ref="B47" r:id="rId2" xr:uid="{57679FAE-7310-4F82-8DF5-7C55D7DD7DC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1"/>
  <sheetViews>
    <sheetView workbookViewId="0">
      <selection activeCell="Q9" sqref="Q9"/>
    </sheetView>
  </sheetViews>
  <sheetFormatPr defaultRowHeight="14.4" x14ac:dyDescent="0.3"/>
  <cols>
    <col min="1" max="1" width="9.6640625" bestFit="1" customWidth="1"/>
    <col min="2" max="2" width="11.5546875" customWidth="1"/>
    <col min="3" max="3" width="8.6640625" customWidth="1"/>
    <col min="4" max="4" width="14.5546875" bestFit="1" customWidth="1"/>
    <col min="5" max="5" width="18.109375" bestFit="1" customWidth="1"/>
    <col min="6" max="6" width="13.109375" bestFit="1" customWidth="1"/>
    <col min="7" max="7" width="9.5546875" customWidth="1"/>
    <col min="8" max="8" width="10.21875" customWidth="1"/>
    <col min="9" max="9" width="10.5546875" customWidth="1"/>
    <col min="10" max="10" width="10.21875" customWidth="1"/>
    <col min="11" max="12" width="10" bestFit="1" customWidth="1"/>
    <col min="13" max="13" width="9" bestFit="1" customWidth="1"/>
  </cols>
  <sheetData>
    <row r="1" spans="1:13" x14ac:dyDescent="0.3">
      <c r="A1" s="2" t="s">
        <v>0</v>
      </c>
      <c r="B1" s="2" t="s">
        <v>1</v>
      </c>
      <c r="C1" s="2" t="s">
        <v>2</v>
      </c>
      <c r="D1" s="2" t="s">
        <v>3</v>
      </c>
      <c r="E1" s="2" t="s">
        <v>4</v>
      </c>
      <c r="F1" s="2" t="s">
        <v>5</v>
      </c>
      <c r="G1" s="2" t="s">
        <v>6</v>
      </c>
      <c r="H1" s="2" t="s">
        <v>7</v>
      </c>
      <c r="I1" s="2" t="s">
        <v>8</v>
      </c>
      <c r="J1" s="2" t="s">
        <v>9</v>
      </c>
      <c r="K1" s="2" t="s">
        <v>10</v>
      </c>
      <c r="L1" s="2" t="s">
        <v>11</v>
      </c>
      <c r="M1" s="2" t="s">
        <v>12</v>
      </c>
    </row>
    <row r="2" spans="1:13" x14ac:dyDescent="0.3">
      <c r="A2" t="s">
        <v>16</v>
      </c>
      <c r="B2" s="1">
        <v>45406</v>
      </c>
      <c r="C2" t="s">
        <v>516</v>
      </c>
      <c r="D2" t="s">
        <v>521</v>
      </c>
      <c r="E2" t="s">
        <v>538</v>
      </c>
      <c r="F2" t="s">
        <v>571</v>
      </c>
      <c r="G2" t="s">
        <v>574</v>
      </c>
      <c r="H2">
        <v>1</v>
      </c>
      <c r="I2">
        <v>59708.28</v>
      </c>
      <c r="J2">
        <v>0</v>
      </c>
      <c r="K2">
        <v>59708.28</v>
      </c>
      <c r="L2">
        <v>39706.01</v>
      </c>
      <c r="M2">
        <v>20002.27</v>
      </c>
    </row>
    <row r="3" spans="1:13" x14ac:dyDescent="0.3">
      <c r="A3" t="s">
        <v>17</v>
      </c>
      <c r="B3" s="1">
        <v>45850</v>
      </c>
      <c r="C3" t="s">
        <v>516</v>
      </c>
      <c r="D3" t="s">
        <v>522</v>
      </c>
      <c r="E3" t="s">
        <v>539</v>
      </c>
      <c r="F3" t="s">
        <v>571</v>
      </c>
      <c r="G3" t="s">
        <v>575</v>
      </c>
      <c r="H3">
        <v>2</v>
      </c>
      <c r="I3">
        <v>19835.12</v>
      </c>
      <c r="J3">
        <v>0</v>
      </c>
      <c r="K3">
        <v>39670.239999999998</v>
      </c>
      <c r="L3">
        <v>30546.080000000002</v>
      </c>
      <c r="M3">
        <v>9124.16</v>
      </c>
    </row>
    <row r="4" spans="1:13" x14ac:dyDescent="0.3">
      <c r="A4" t="s">
        <v>18</v>
      </c>
      <c r="B4" s="1">
        <v>45319</v>
      </c>
      <c r="C4" t="s">
        <v>517</v>
      </c>
      <c r="D4" t="s">
        <v>523</v>
      </c>
      <c r="E4" t="s">
        <v>540</v>
      </c>
      <c r="F4" t="s">
        <v>571</v>
      </c>
      <c r="G4" t="s">
        <v>576</v>
      </c>
      <c r="H4">
        <v>1</v>
      </c>
      <c r="I4">
        <v>48373.46</v>
      </c>
      <c r="J4">
        <v>0</v>
      </c>
      <c r="K4">
        <v>48373.46</v>
      </c>
      <c r="L4">
        <v>43681.23</v>
      </c>
      <c r="M4">
        <v>4692.2299999999996</v>
      </c>
    </row>
    <row r="5" spans="1:13" x14ac:dyDescent="0.3">
      <c r="A5" t="s">
        <v>19</v>
      </c>
      <c r="B5" s="1">
        <v>45298</v>
      </c>
      <c r="C5" t="s">
        <v>518</v>
      </c>
      <c r="D5" t="s">
        <v>524</v>
      </c>
      <c r="E5" t="s">
        <v>541</v>
      </c>
      <c r="F5" t="s">
        <v>572</v>
      </c>
      <c r="G5" t="s">
        <v>577</v>
      </c>
      <c r="H5">
        <v>1</v>
      </c>
      <c r="I5">
        <v>353.19</v>
      </c>
      <c r="J5">
        <v>0</v>
      </c>
      <c r="K5">
        <v>353.19</v>
      </c>
      <c r="L5">
        <v>243.7</v>
      </c>
      <c r="M5">
        <v>109.49</v>
      </c>
    </row>
    <row r="6" spans="1:13" x14ac:dyDescent="0.3">
      <c r="A6" t="s">
        <v>20</v>
      </c>
      <c r="B6" s="1">
        <v>45636</v>
      </c>
      <c r="C6" t="s">
        <v>516</v>
      </c>
      <c r="D6" t="s">
        <v>525</v>
      </c>
      <c r="E6" t="s">
        <v>542</v>
      </c>
      <c r="F6" t="s">
        <v>571</v>
      </c>
      <c r="G6" t="s">
        <v>578</v>
      </c>
      <c r="H6">
        <v>1</v>
      </c>
      <c r="I6">
        <v>68257.070000000007</v>
      </c>
      <c r="J6">
        <v>0</v>
      </c>
      <c r="K6">
        <v>68257.070000000007</v>
      </c>
      <c r="L6">
        <v>50373.72</v>
      </c>
      <c r="M6">
        <v>17883.349999999999</v>
      </c>
    </row>
    <row r="7" spans="1:13" x14ac:dyDescent="0.3">
      <c r="A7" t="s">
        <v>21</v>
      </c>
      <c r="B7" s="1">
        <v>45336</v>
      </c>
      <c r="C7" t="s">
        <v>519</v>
      </c>
      <c r="D7" t="s">
        <v>526</v>
      </c>
      <c r="E7" t="s">
        <v>543</v>
      </c>
      <c r="F7" t="s">
        <v>571</v>
      </c>
      <c r="G7" t="s">
        <v>579</v>
      </c>
      <c r="H7">
        <v>1</v>
      </c>
      <c r="I7">
        <v>25574.73</v>
      </c>
      <c r="J7">
        <v>0</v>
      </c>
      <c r="K7">
        <v>25574.73</v>
      </c>
      <c r="L7">
        <v>16853.75</v>
      </c>
      <c r="M7">
        <v>8720.98</v>
      </c>
    </row>
    <row r="8" spans="1:13" x14ac:dyDescent="0.3">
      <c r="A8" t="s">
        <v>22</v>
      </c>
      <c r="B8" s="1">
        <v>45662</v>
      </c>
      <c r="C8" t="s">
        <v>517</v>
      </c>
      <c r="D8" t="s">
        <v>523</v>
      </c>
      <c r="E8" t="s">
        <v>544</v>
      </c>
      <c r="F8" t="s">
        <v>571</v>
      </c>
      <c r="G8" t="s">
        <v>574</v>
      </c>
      <c r="H8">
        <v>2</v>
      </c>
      <c r="I8">
        <v>62526.26</v>
      </c>
      <c r="J8">
        <v>0</v>
      </c>
      <c r="K8">
        <v>125052.52</v>
      </c>
      <c r="L8">
        <v>110796.53</v>
      </c>
      <c r="M8">
        <v>14255.99</v>
      </c>
    </row>
    <row r="9" spans="1:13" x14ac:dyDescent="0.3">
      <c r="A9" t="s">
        <v>23</v>
      </c>
      <c r="B9" s="1">
        <v>45530</v>
      </c>
      <c r="C9" t="s">
        <v>516</v>
      </c>
      <c r="D9" t="s">
        <v>522</v>
      </c>
      <c r="E9" t="s">
        <v>545</v>
      </c>
      <c r="F9" t="s">
        <v>572</v>
      </c>
      <c r="G9" t="s">
        <v>577</v>
      </c>
      <c r="H9">
        <v>1</v>
      </c>
      <c r="I9">
        <v>367.18</v>
      </c>
      <c r="J9">
        <v>0</v>
      </c>
      <c r="K9">
        <v>367.18</v>
      </c>
      <c r="L9">
        <v>328.63</v>
      </c>
      <c r="M9">
        <v>38.549999999999997</v>
      </c>
    </row>
    <row r="10" spans="1:13" x14ac:dyDescent="0.3">
      <c r="A10" t="s">
        <v>24</v>
      </c>
      <c r="B10" s="1">
        <v>45565</v>
      </c>
      <c r="C10" t="s">
        <v>516</v>
      </c>
      <c r="D10" t="s">
        <v>527</v>
      </c>
      <c r="E10" t="s">
        <v>546</v>
      </c>
      <c r="F10" t="s">
        <v>571</v>
      </c>
      <c r="G10" t="s">
        <v>576</v>
      </c>
      <c r="H10">
        <v>1</v>
      </c>
      <c r="I10">
        <v>32218.07</v>
      </c>
      <c r="J10">
        <v>0</v>
      </c>
      <c r="K10">
        <v>32218.07</v>
      </c>
      <c r="L10">
        <v>25548.93</v>
      </c>
      <c r="M10">
        <v>6669.14</v>
      </c>
    </row>
    <row r="11" spans="1:13" x14ac:dyDescent="0.3">
      <c r="A11" t="s">
        <v>25</v>
      </c>
      <c r="B11" s="1">
        <v>45862</v>
      </c>
      <c r="C11" t="s">
        <v>518</v>
      </c>
      <c r="D11" t="s">
        <v>524</v>
      </c>
      <c r="E11" t="s">
        <v>541</v>
      </c>
      <c r="F11" t="s">
        <v>571</v>
      </c>
      <c r="G11" t="s">
        <v>574</v>
      </c>
      <c r="H11">
        <v>1</v>
      </c>
      <c r="I11">
        <v>66278.8</v>
      </c>
      <c r="J11">
        <v>0</v>
      </c>
      <c r="K11">
        <v>66278.8</v>
      </c>
      <c r="L11">
        <v>57198.6</v>
      </c>
      <c r="M11">
        <v>9080.2000000000007</v>
      </c>
    </row>
    <row r="12" spans="1:13" x14ac:dyDescent="0.3">
      <c r="A12" t="s">
        <v>26</v>
      </c>
      <c r="B12" s="1">
        <v>45702</v>
      </c>
      <c r="C12" t="s">
        <v>520</v>
      </c>
      <c r="D12" t="s">
        <v>528</v>
      </c>
      <c r="E12" t="s">
        <v>547</v>
      </c>
      <c r="F12" t="s">
        <v>573</v>
      </c>
      <c r="G12" t="s">
        <v>580</v>
      </c>
      <c r="H12">
        <v>1</v>
      </c>
      <c r="I12">
        <v>6890.41</v>
      </c>
      <c r="J12">
        <v>0</v>
      </c>
      <c r="K12">
        <v>6890.41</v>
      </c>
      <c r="L12">
        <v>6256.49</v>
      </c>
      <c r="M12">
        <v>633.91999999999996</v>
      </c>
    </row>
    <row r="13" spans="1:13" x14ac:dyDescent="0.3">
      <c r="A13" t="s">
        <v>27</v>
      </c>
      <c r="B13" s="1">
        <v>45761</v>
      </c>
      <c r="C13" t="s">
        <v>518</v>
      </c>
      <c r="D13" t="s">
        <v>529</v>
      </c>
      <c r="E13" t="s">
        <v>548</v>
      </c>
      <c r="F13" t="s">
        <v>571</v>
      </c>
      <c r="G13" t="s">
        <v>579</v>
      </c>
      <c r="H13">
        <v>1</v>
      </c>
      <c r="I13">
        <v>44501.25</v>
      </c>
      <c r="J13">
        <v>0</v>
      </c>
      <c r="K13">
        <v>44501.25</v>
      </c>
      <c r="L13">
        <v>37381.050000000003</v>
      </c>
      <c r="M13">
        <v>7120.2</v>
      </c>
    </row>
    <row r="14" spans="1:13" x14ac:dyDescent="0.3">
      <c r="A14" t="s">
        <v>28</v>
      </c>
      <c r="B14" s="1">
        <v>45730</v>
      </c>
      <c r="C14" t="s">
        <v>517</v>
      </c>
      <c r="D14" t="s">
        <v>530</v>
      </c>
      <c r="E14" t="s">
        <v>549</v>
      </c>
      <c r="F14" t="s">
        <v>571</v>
      </c>
      <c r="G14" t="s">
        <v>574</v>
      </c>
      <c r="H14">
        <v>1</v>
      </c>
      <c r="I14">
        <v>42233.52</v>
      </c>
      <c r="J14">
        <v>0.05</v>
      </c>
      <c r="K14">
        <v>40121.839999999997</v>
      </c>
      <c r="L14">
        <v>28646.99</v>
      </c>
      <c r="M14">
        <v>11474.85</v>
      </c>
    </row>
    <row r="15" spans="1:13" x14ac:dyDescent="0.3">
      <c r="A15" t="s">
        <v>29</v>
      </c>
      <c r="B15" s="1">
        <v>45404</v>
      </c>
      <c r="C15" t="s">
        <v>518</v>
      </c>
      <c r="D15" t="s">
        <v>524</v>
      </c>
      <c r="E15" t="s">
        <v>550</v>
      </c>
      <c r="F15" t="s">
        <v>573</v>
      </c>
      <c r="G15" t="s">
        <v>581</v>
      </c>
      <c r="H15">
        <v>1</v>
      </c>
      <c r="I15">
        <v>15717.41</v>
      </c>
      <c r="J15">
        <v>0</v>
      </c>
      <c r="K15">
        <v>15717.41</v>
      </c>
      <c r="L15">
        <v>12511.06</v>
      </c>
      <c r="M15">
        <v>3206.35</v>
      </c>
    </row>
    <row r="16" spans="1:13" x14ac:dyDescent="0.3">
      <c r="A16" t="s">
        <v>30</v>
      </c>
      <c r="B16" s="1">
        <v>45771</v>
      </c>
      <c r="C16" t="s">
        <v>517</v>
      </c>
      <c r="D16" t="s">
        <v>531</v>
      </c>
      <c r="E16" t="s">
        <v>551</v>
      </c>
      <c r="F16" t="s">
        <v>573</v>
      </c>
      <c r="G16" t="s">
        <v>582</v>
      </c>
      <c r="H16">
        <v>1</v>
      </c>
      <c r="I16">
        <v>17679.34</v>
      </c>
      <c r="J16">
        <v>0</v>
      </c>
      <c r="K16">
        <v>17679.34</v>
      </c>
      <c r="L16">
        <v>16547.86</v>
      </c>
      <c r="M16">
        <v>1131.48</v>
      </c>
    </row>
    <row r="17" spans="1:13" x14ac:dyDescent="0.3">
      <c r="A17" t="s">
        <v>31</v>
      </c>
      <c r="B17" s="1">
        <v>45565</v>
      </c>
      <c r="C17" t="s">
        <v>520</v>
      </c>
      <c r="D17" t="s">
        <v>528</v>
      </c>
      <c r="E17" t="s">
        <v>552</v>
      </c>
      <c r="F17" t="s">
        <v>572</v>
      </c>
      <c r="G17" t="s">
        <v>583</v>
      </c>
      <c r="H17">
        <v>1</v>
      </c>
      <c r="I17">
        <v>934.76</v>
      </c>
      <c r="J17">
        <v>0</v>
      </c>
      <c r="K17">
        <v>934.76</v>
      </c>
      <c r="L17">
        <v>840.35</v>
      </c>
      <c r="M17">
        <v>94.41</v>
      </c>
    </row>
    <row r="18" spans="1:13" x14ac:dyDescent="0.3">
      <c r="A18" t="s">
        <v>32</v>
      </c>
      <c r="B18" s="1">
        <v>45561</v>
      </c>
      <c r="C18" t="s">
        <v>517</v>
      </c>
      <c r="D18" t="s">
        <v>523</v>
      </c>
      <c r="E18" t="s">
        <v>544</v>
      </c>
      <c r="F18" t="s">
        <v>573</v>
      </c>
      <c r="G18" t="s">
        <v>580</v>
      </c>
      <c r="H18">
        <v>1</v>
      </c>
      <c r="I18">
        <v>21358.400000000001</v>
      </c>
      <c r="J18">
        <v>0</v>
      </c>
      <c r="K18">
        <v>21358.400000000001</v>
      </c>
      <c r="L18">
        <v>14203.34</v>
      </c>
      <c r="M18">
        <v>7155.06</v>
      </c>
    </row>
    <row r="19" spans="1:13" x14ac:dyDescent="0.3">
      <c r="A19" t="s">
        <v>33</v>
      </c>
      <c r="B19" s="1">
        <v>45495</v>
      </c>
      <c r="C19" t="s">
        <v>518</v>
      </c>
      <c r="D19" t="s">
        <v>529</v>
      </c>
      <c r="E19" t="s">
        <v>548</v>
      </c>
      <c r="F19" t="s">
        <v>573</v>
      </c>
      <c r="G19" t="s">
        <v>584</v>
      </c>
      <c r="H19">
        <v>4</v>
      </c>
      <c r="I19">
        <v>23125.35</v>
      </c>
      <c r="J19">
        <v>0</v>
      </c>
      <c r="K19">
        <v>92501.4</v>
      </c>
      <c r="L19">
        <v>65398.49</v>
      </c>
      <c r="M19">
        <v>27102.91</v>
      </c>
    </row>
    <row r="20" spans="1:13" x14ac:dyDescent="0.3">
      <c r="A20" t="s">
        <v>34</v>
      </c>
      <c r="B20" s="1">
        <v>45792</v>
      </c>
      <c r="C20" t="s">
        <v>516</v>
      </c>
      <c r="D20" t="s">
        <v>525</v>
      </c>
      <c r="E20" t="s">
        <v>542</v>
      </c>
      <c r="F20" t="s">
        <v>572</v>
      </c>
      <c r="G20" t="s">
        <v>583</v>
      </c>
      <c r="H20">
        <v>1</v>
      </c>
      <c r="I20">
        <v>162.94999999999999</v>
      </c>
      <c r="J20">
        <v>0</v>
      </c>
      <c r="K20">
        <v>162.94999999999999</v>
      </c>
      <c r="L20">
        <v>150.08000000000001</v>
      </c>
      <c r="M20">
        <v>12.87</v>
      </c>
    </row>
    <row r="21" spans="1:13" x14ac:dyDescent="0.3">
      <c r="A21" t="s">
        <v>35</v>
      </c>
      <c r="B21" s="1">
        <v>45372</v>
      </c>
      <c r="C21" t="s">
        <v>516</v>
      </c>
      <c r="D21" t="s">
        <v>522</v>
      </c>
      <c r="E21" t="s">
        <v>539</v>
      </c>
      <c r="F21" t="s">
        <v>573</v>
      </c>
      <c r="G21" t="s">
        <v>585</v>
      </c>
      <c r="H21">
        <v>2</v>
      </c>
      <c r="I21">
        <v>4953</v>
      </c>
      <c r="J21">
        <v>0</v>
      </c>
      <c r="K21">
        <v>9906</v>
      </c>
      <c r="L21">
        <v>8103.11</v>
      </c>
      <c r="M21">
        <v>1802.89</v>
      </c>
    </row>
    <row r="22" spans="1:13" x14ac:dyDescent="0.3">
      <c r="A22" t="s">
        <v>36</v>
      </c>
      <c r="B22" s="1">
        <v>45854</v>
      </c>
      <c r="C22" t="s">
        <v>518</v>
      </c>
      <c r="D22" t="s">
        <v>529</v>
      </c>
      <c r="E22" t="s">
        <v>553</v>
      </c>
      <c r="F22" t="s">
        <v>571</v>
      </c>
      <c r="G22" t="s">
        <v>579</v>
      </c>
      <c r="H22">
        <v>1</v>
      </c>
      <c r="I22">
        <v>61155.42</v>
      </c>
      <c r="J22">
        <v>0</v>
      </c>
      <c r="K22">
        <v>61155.42</v>
      </c>
      <c r="L22">
        <v>48985.49</v>
      </c>
      <c r="M22">
        <v>12169.93</v>
      </c>
    </row>
    <row r="23" spans="1:13" x14ac:dyDescent="0.3">
      <c r="A23" t="s">
        <v>37</v>
      </c>
      <c r="B23" s="1">
        <v>45611</v>
      </c>
      <c r="C23" t="s">
        <v>519</v>
      </c>
      <c r="D23" t="s">
        <v>532</v>
      </c>
      <c r="E23" t="s">
        <v>554</v>
      </c>
      <c r="F23" t="s">
        <v>573</v>
      </c>
      <c r="G23" t="s">
        <v>581</v>
      </c>
      <c r="H23">
        <v>1</v>
      </c>
      <c r="I23">
        <v>4783.1000000000004</v>
      </c>
      <c r="J23">
        <v>0</v>
      </c>
      <c r="K23">
        <v>4783.1000000000004</v>
      </c>
      <c r="L23">
        <v>3238.16</v>
      </c>
      <c r="M23">
        <v>1544.94</v>
      </c>
    </row>
    <row r="24" spans="1:13" x14ac:dyDescent="0.3">
      <c r="A24" t="s">
        <v>38</v>
      </c>
      <c r="B24" s="1">
        <v>45638</v>
      </c>
      <c r="C24" t="s">
        <v>516</v>
      </c>
      <c r="D24" t="s">
        <v>527</v>
      </c>
      <c r="E24" t="s">
        <v>546</v>
      </c>
      <c r="F24" t="s">
        <v>571</v>
      </c>
      <c r="G24" t="s">
        <v>575</v>
      </c>
      <c r="H24">
        <v>1</v>
      </c>
      <c r="I24">
        <v>57503.75</v>
      </c>
      <c r="J24">
        <v>0.05</v>
      </c>
      <c r="K24">
        <v>54628.56</v>
      </c>
      <c r="L24">
        <v>41026.050000000003</v>
      </c>
      <c r="M24">
        <v>13602.51</v>
      </c>
    </row>
    <row r="25" spans="1:13" x14ac:dyDescent="0.3">
      <c r="A25" t="s">
        <v>39</v>
      </c>
      <c r="B25" s="1">
        <v>45324</v>
      </c>
      <c r="C25" t="s">
        <v>520</v>
      </c>
      <c r="D25" t="s">
        <v>528</v>
      </c>
      <c r="E25" t="s">
        <v>547</v>
      </c>
      <c r="F25" t="s">
        <v>572</v>
      </c>
      <c r="G25" t="s">
        <v>586</v>
      </c>
      <c r="H25">
        <v>1</v>
      </c>
      <c r="I25">
        <v>467.76</v>
      </c>
      <c r="J25">
        <v>0.15</v>
      </c>
      <c r="K25">
        <v>397.6</v>
      </c>
      <c r="L25">
        <v>315.69</v>
      </c>
      <c r="M25">
        <v>81.91</v>
      </c>
    </row>
    <row r="26" spans="1:13" x14ac:dyDescent="0.3">
      <c r="A26" t="s">
        <v>40</v>
      </c>
      <c r="B26" s="1">
        <v>45882</v>
      </c>
      <c r="C26" t="s">
        <v>519</v>
      </c>
      <c r="D26" t="s">
        <v>533</v>
      </c>
      <c r="E26" t="s">
        <v>555</v>
      </c>
      <c r="F26" t="s">
        <v>572</v>
      </c>
      <c r="G26" t="s">
        <v>583</v>
      </c>
      <c r="H26">
        <v>1</v>
      </c>
      <c r="I26">
        <v>233.94</v>
      </c>
      <c r="J26">
        <v>0</v>
      </c>
      <c r="K26">
        <v>233.94</v>
      </c>
      <c r="L26">
        <v>209.38</v>
      </c>
      <c r="M26">
        <v>24.56</v>
      </c>
    </row>
    <row r="27" spans="1:13" x14ac:dyDescent="0.3">
      <c r="A27" t="s">
        <v>41</v>
      </c>
      <c r="B27" s="1">
        <v>45654</v>
      </c>
      <c r="C27" t="s">
        <v>519</v>
      </c>
      <c r="D27" t="s">
        <v>534</v>
      </c>
      <c r="E27" t="s">
        <v>556</v>
      </c>
      <c r="F27" t="s">
        <v>573</v>
      </c>
      <c r="G27" t="s">
        <v>582</v>
      </c>
      <c r="H27">
        <v>4</v>
      </c>
      <c r="I27">
        <v>17487.38</v>
      </c>
      <c r="J27">
        <v>0</v>
      </c>
      <c r="K27">
        <v>69949.52</v>
      </c>
      <c r="L27">
        <v>50153.81</v>
      </c>
      <c r="M27">
        <v>19795.71</v>
      </c>
    </row>
    <row r="28" spans="1:13" x14ac:dyDescent="0.3">
      <c r="A28" t="s">
        <v>42</v>
      </c>
      <c r="B28" s="1">
        <v>45392</v>
      </c>
      <c r="C28" t="s">
        <v>516</v>
      </c>
      <c r="D28" t="s">
        <v>522</v>
      </c>
      <c r="E28" t="s">
        <v>545</v>
      </c>
      <c r="F28" t="s">
        <v>571</v>
      </c>
      <c r="G28" t="s">
        <v>574</v>
      </c>
      <c r="H28">
        <v>4</v>
      </c>
      <c r="I28">
        <v>17752.439999999999</v>
      </c>
      <c r="J28">
        <v>0</v>
      </c>
      <c r="K28">
        <v>71009.759999999995</v>
      </c>
      <c r="L28">
        <v>48428.66</v>
      </c>
      <c r="M28">
        <v>22581.1</v>
      </c>
    </row>
    <row r="29" spans="1:13" x14ac:dyDescent="0.3">
      <c r="A29" t="s">
        <v>43</v>
      </c>
      <c r="B29" s="1">
        <v>45435</v>
      </c>
      <c r="C29" t="s">
        <v>519</v>
      </c>
      <c r="D29" t="s">
        <v>533</v>
      </c>
      <c r="E29" t="s">
        <v>555</v>
      </c>
      <c r="F29" t="s">
        <v>572</v>
      </c>
      <c r="G29" t="s">
        <v>583</v>
      </c>
      <c r="H29">
        <v>1</v>
      </c>
      <c r="I29">
        <v>1755.25</v>
      </c>
      <c r="J29">
        <v>0.15</v>
      </c>
      <c r="K29">
        <v>1491.96</v>
      </c>
      <c r="L29">
        <v>1004.09</v>
      </c>
      <c r="M29">
        <v>487.87</v>
      </c>
    </row>
    <row r="30" spans="1:13" x14ac:dyDescent="0.3">
      <c r="A30" t="s">
        <v>44</v>
      </c>
      <c r="B30" s="1">
        <v>45392</v>
      </c>
      <c r="C30" t="s">
        <v>516</v>
      </c>
      <c r="D30" t="s">
        <v>525</v>
      </c>
      <c r="E30" t="s">
        <v>557</v>
      </c>
      <c r="F30" t="s">
        <v>571</v>
      </c>
      <c r="G30" t="s">
        <v>574</v>
      </c>
      <c r="H30">
        <v>1</v>
      </c>
      <c r="I30">
        <v>34293.879999999997</v>
      </c>
      <c r="J30">
        <v>0</v>
      </c>
      <c r="K30">
        <v>34293.879999999997</v>
      </c>
      <c r="L30">
        <v>30555.85</v>
      </c>
      <c r="M30">
        <v>3738.03</v>
      </c>
    </row>
    <row r="31" spans="1:13" x14ac:dyDescent="0.3">
      <c r="A31" t="s">
        <v>45</v>
      </c>
      <c r="B31" s="1">
        <v>45702</v>
      </c>
      <c r="C31" t="s">
        <v>516</v>
      </c>
      <c r="D31" t="s">
        <v>527</v>
      </c>
      <c r="E31" t="s">
        <v>558</v>
      </c>
      <c r="F31" t="s">
        <v>571</v>
      </c>
      <c r="G31" t="s">
        <v>576</v>
      </c>
      <c r="H31">
        <v>1</v>
      </c>
      <c r="I31">
        <v>23420.639999999999</v>
      </c>
      <c r="J31">
        <v>0</v>
      </c>
      <c r="K31">
        <v>23420.639999999999</v>
      </c>
      <c r="L31">
        <v>19954.39</v>
      </c>
      <c r="M31">
        <v>3466.25</v>
      </c>
    </row>
    <row r="32" spans="1:13" x14ac:dyDescent="0.3">
      <c r="A32" t="s">
        <v>46</v>
      </c>
      <c r="B32" s="1">
        <v>45757</v>
      </c>
      <c r="C32" t="s">
        <v>520</v>
      </c>
      <c r="D32" t="s">
        <v>535</v>
      </c>
      <c r="E32" t="s">
        <v>559</v>
      </c>
      <c r="F32" t="s">
        <v>571</v>
      </c>
      <c r="G32" t="s">
        <v>574</v>
      </c>
      <c r="H32">
        <v>1</v>
      </c>
      <c r="I32">
        <v>25846.5</v>
      </c>
      <c r="J32">
        <v>0</v>
      </c>
      <c r="K32">
        <v>25846.5</v>
      </c>
      <c r="L32">
        <v>22460.61</v>
      </c>
      <c r="M32">
        <v>3385.89</v>
      </c>
    </row>
    <row r="33" spans="1:13" x14ac:dyDescent="0.3">
      <c r="A33" t="s">
        <v>47</v>
      </c>
      <c r="B33" s="1">
        <v>45885</v>
      </c>
      <c r="C33" t="s">
        <v>517</v>
      </c>
      <c r="D33" t="s">
        <v>536</v>
      </c>
      <c r="E33" t="s">
        <v>560</v>
      </c>
      <c r="F33" t="s">
        <v>571</v>
      </c>
      <c r="G33" t="s">
        <v>575</v>
      </c>
      <c r="H33">
        <v>2</v>
      </c>
      <c r="I33">
        <v>47981.67</v>
      </c>
      <c r="J33">
        <v>0</v>
      </c>
      <c r="K33">
        <v>95963.34</v>
      </c>
      <c r="L33">
        <v>80897.100000000006</v>
      </c>
      <c r="M33">
        <v>15066.24</v>
      </c>
    </row>
    <row r="34" spans="1:13" x14ac:dyDescent="0.3">
      <c r="A34" t="s">
        <v>48</v>
      </c>
      <c r="B34" s="1">
        <v>45835</v>
      </c>
      <c r="C34" t="s">
        <v>518</v>
      </c>
      <c r="D34" t="s">
        <v>537</v>
      </c>
      <c r="E34" t="s">
        <v>561</v>
      </c>
      <c r="F34" t="s">
        <v>571</v>
      </c>
      <c r="G34" t="s">
        <v>575</v>
      </c>
      <c r="H34">
        <v>1</v>
      </c>
      <c r="I34">
        <v>48817.7</v>
      </c>
      <c r="J34">
        <v>0</v>
      </c>
      <c r="K34">
        <v>48817.7</v>
      </c>
      <c r="L34">
        <v>38419.53</v>
      </c>
      <c r="M34">
        <v>10398.17</v>
      </c>
    </row>
    <row r="35" spans="1:13" x14ac:dyDescent="0.3">
      <c r="A35" t="s">
        <v>49</v>
      </c>
      <c r="B35" s="1">
        <v>45532</v>
      </c>
      <c r="C35" t="s">
        <v>519</v>
      </c>
      <c r="D35" t="s">
        <v>526</v>
      </c>
      <c r="E35" t="s">
        <v>562</v>
      </c>
      <c r="F35" t="s">
        <v>573</v>
      </c>
      <c r="G35" t="s">
        <v>584</v>
      </c>
      <c r="H35">
        <v>1</v>
      </c>
      <c r="I35">
        <v>2914.06</v>
      </c>
      <c r="J35">
        <v>0.15</v>
      </c>
      <c r="K35">
        <v>2476.9499999999998</v>
      </c>
      <c r="L35">
        <v>1756.16</v>
      </c>
      <c r="M35">
        <v>720.79</v>
      </c>
    </row>
    <row r="36" spans="1:13" x14ac:dyDescent="0.3">
      <c r="A36" t="s">
        <v>50</v>
      </c>
      <c r="B36" s="1">
        <v>45889</v>
      </c>
      <c r="C36" t="s">
        <v>517</v>
      </c>
      <c r="D36" t="s">
        <v>531</v>
      </c>
      <c r="E36" t="s">
        <v>563</v>
      </c>
      <c r="F36" t="s">
        <v>571</v>
      </c>
      <c r="G36" t="s">
        <v>578</v>
      </c>
      <c r="H36">
        <v>1</v>
      </c>
      <c r="I36">
        <v>21378.82</v>
      </c>
      <c r="J36">
        <v>0</v>
      </c>
      <c r="K36">
        <v>21378.82</v>
      </c>
      <c r="L36">
        <v>13981.75</v>
      </c>
      <c r="M36">
        <v>7397.07</v>
      </c>
    </row>
    <row r="37" spans="1:13" x14ac:dyDescent="0.3">
      <c r="A37" t="s">
        <v>51</v>
      </c>
      <c r="B37" s="1">
        <v>45599</v>
      </c>
      <c r="C37" t="s">
        <v>519</v>
      </c>
      <c r="D37" t="s">
        <v>532</v>
      </c>
      <c r="E37" t="s">
        <v>564</v>
      </c>
      <c r="F37" t="s">
        <v>571</v>
      </c>
      <c r="G37" t="s">
        <v>576</v>
      </c>
      <c r="H37">
        <v>2</v>
      </c>
      <c r="I37">
        <v>50829.26</v>
      </c>
      <c r="J37">
        <v>0</v>
      </c>
      <c r="K37">
        <v>101658.52</v>
      </c>
      <c r="L37">
        <v>90476.08</v>
      </c>
      <c r="M37">
        <v>11182.44</v>
      </c>
    </row>
    <row r="38" spans="1:13" x14ac:dyDescent="0.3">
      <c r="A38" t="s">
        <v>52</v>
      </c>
      <c r="B38" s="1">
        <v>45394</v>
      </c>
      <c r="C38" t="s">
        <v>516</v>
      </c>
      <c r="D38" t="s">
        <v>527</v>
      </c>
      <c r="E38" t="s">
        <v>558</v>
      </c>
      <c r="F38" t="s">
        <v>571</v>
      </c>
      <c r="G38" t="s">
        <v>578</v>
      </c>
      <c r="H38">
        <v>1</v>
      </c>
      <c r="I38">
        <v>70826.539999999994</v>
      </c>
      <c r="J38">
        <v>0</v>
      </c>
      <c r="K38">
        <v>70826.539999999994</v>
      </c>
      <c r="L38">
        <v>49932.71</v>
      </c>
      <c r="M38">
        <v>20893.830000000002</v>
      </c>
    </row>
    <row r="39" spans="1:13" x14ac:dyDescent="0.3">
      <c r="A39" t="s">
        <v>53</v>
      </c>
      <c r="B39" s="1">
        <v>45670</v>
      </c>
      <c r="C39" t="s">
        <v>520</v>
      </c>
      <c r="D39" t="s">
        <v>528</v>
      </c>
      <c r="E39" t="s">
        <v>552</v>
      </c>
      <c r="F39" t="s">
        <v>573</v>
      </c>
      <c r="G39" t="s">
        <v>580</v>
      </c>
      <c r="H39">
        <v>2</v>
      </c>
      <c r="I39">
        <v>16068.59</v>
      </c>
      <c r="J39">
        <v>0</v>
      </c>
      <c r="K39">
        <v>32137.18</v>
      </c>
      <c r="L39">
        <v>23492.28</v>
      </c>
      <c r="M39">
        <v>8644.9</v>
      </c>
    </row>
    <row r="40" spans="1:13" x14ac:dyDescent="0.3">
      <c r="A40" t="s">
        <v>54</v>
      </c>
      <c r="B40" s="1">
        <v>45833</v>
      </c>
      <c r="C40" t="s">
        <v>516</v>
      </c>
      <c r="D40" t="s">
        <v>521</v>
      </c>
      <c r="E40" t="s">
        <v>538</v>
      </c>
      <c r="F40" t="s">
        <v>571</v>
      </c>
      <c r="G40" t="s">
        <v>578</v>
      </c>
      <c r="H40">
        <v>2</v>
      </c>
      <c r="I40">
        <v>11888.01</v>
      </c>
      <c r="J40">
        <v>0.15</v>
      </c>
      <c r="K40">
        <v>20209.62</v>
      </c>
      <c r="L40">
        <v>18754.53</v>
      </c>
      <c r="M40">
        <v>1455.09</v>
      </c>
    </row>
    <row r="41" spans="1:13" x14ac:dyDescent="0.3">
      <c r="A41" t="s">
        <v>55</v>
      </c>
      <c r="B41" s="1">
        <v>45451</v>
      </c>
      <c r="C41" t="s">
        <v>520</v>
      </c>
      <c r="D41" t="s">
        <v>535</v>
      </c>
      <c r="E41" t="s">
        <v>565</v>
      </c>
      <c r="F41" t="s">
        <v>573</v>
      </c>
      <c r="G41" t="s">
        <v>580</v>
      </c>
      <c r="H41">
        <v>1</v>
      </c>
      <c r="I41">
        <v>6682.74</v>
      </c>
      <c r="J41">
        <v>0</v>
      </c>
      <c r="K41">
        <v>6682.74</v>
      </c>
      <c r="L41">
        <v>6114.71</v>
      </c>
      <c r="M41">
        <v>568.03</v>
      </c>
    </row>
    <row r="42" spans="1:13" x14ac:dyDescent="0.3">
      <c r="A42" t="s">
        <v>56</v>
      </c>
      <c r="B42" s="1">
        <v>45562</v>
      </c>
      <c r="C42" t="s">
        <v>517</v>
      </c>
      <c r="D42" t="s">
        <v>530</v>
      </c>
      <c r="E42" t="s">
        <v>549</v>
      </c>
      <c r="F42" t="s">
        <v>571</v>
      </c>
      <c r="G42" t="s">
        <v>575</v>
      </c>
      <c r="H42">
        <v>3</v>
      </c>
      <c r="I42">
        <v>51839.9</v>
      </c>
      <c r="J42">
        <v>0</v>
      </c>
      <c r="K42">
        <v>155519.70000000001</v>
      </c>
      <c r="L42">
        <v>118661.53</v>
      </c>
      <c r="M42">
        <v>36858.17</v>
      </c>
    </row>
    <row r="43" spans="1:13" x14ac:dyDescent="0.3">
      <c r="A43" t="s">
        <v>57</v>
      </c>
      <c r="B43" s="1">
        <v>45337</v>
      </c>
      <c r="C43" t="s">
        <v>516</v>
      </c>
      <c r="D43" t="s">
        <v>521</v>
      </c>
      <c r="E43" t="s">
        <v>538</v>
      </c>
      <c r="F43" t="s">
        <v>573</v>
      </c>
      <c r="G43" t="s">
        <v>580</v>
      </c>
      <c r="H43">
        <v>1</v>
      </c>
      <c r="I43">
        <v>5716.39</v>
      </c>
      <c r="J43">
        <v>0</v>
      </c>
      <c r="K43">
        <v>5716.39</v>
      </c>
      <c r="L43">
        <v>5321.96</v>
      </c>
      <c r="M43">
        <v>394.43</v>
      </c>
    </row>
    <row r="44" spans="1:13" x14ac:dyDescent="0.3">
      <c r="A44" t="s">
        <v>58</v>
      </c>
      <c r="B44" s="1">
        <v>45729</v>
      </c>
      <c r="C44" t="s">
        <v>517</v>
      </c>
      <c r="D44" t="s">
        <v>536</v>
      </c>
      <c r="E44" t="s">
        <v>560</v>
      </c>
      <c r="F44" t="s">
        <v>571</v>
      </c>
      <c r="G44" t="s">
        <v>574</v>
      </c>
      <c r="H44">
        <v>1</v>
      </c>
      <c r="I44">
        <v>45010.45</v>
      </c>
      <c r="J44">
        <v>0</v>
      </c>
      <c r="K44">
        <v>45010.45</v>
      </c>
      <c r="L44">
        <v>38348.9</v>
      </c>
      <c r="M44">
        <v>6661.55</v>
      </c>
    </row>
    <row r="45" spans="1:13" x14ac:dyDescent="0.3">
      <c r="A45" t="s">
        <v>59</v>
      </c>
      <c r="B45" s="1">
        <v>45888</v>
      </c>
      <c r="C45" t="s">
        <v>517</v>
      </c>
      <c r="D45" t="s">
        <v>523</v>
      </c>
      <c r="E45" t="s">
        <v>540</v>
      </c>
      <c r="F45" t="s">
        <v>571</v>
      </c>
      <c r="G45" t="s">
        <v>575</v>
      </c>
      <c r="H45">
        <v>2</v>
      </c>
      <c r="I45">
        <v>26735.89</v>
      </c>
      <c r="J45">
        <v>0</v>
      </c>
      <c r="K45">
        <v>53471.78</v>
      </c>
      <c r="L45">
        <v>40585.08</v>
      </c>
      <c r="M45">
        <v>12886.7</v>
      </c>
    </row>
    <row r="46" spans="1:13" x14ac:dyDescent="0.3">
      <c r="A46" t="s">
        <v>60</v>
      </c>
      <c r="B46" s="1">
        <v>45332</v>
      </c>
      <c r="C46" t="s">
        <v>520</v>
      </c>
      <c r="D46" t="s">
        <v>528</v>
      </c>
      <c r="E46" t="s">
        <v>547</v>
      </c>
      <c r="F46" t="s">
        <v>573</v>
      </c>
      <c r="G46" t="s">
        <v>582</v>
      </c>
      <c r="H46">
        <v>3</v>
      </c>
      <c r="I46">
        <v>10134.61</v>
      </c>
      <c r="J46">
        <v>0</v>
      </c>
      <c r="K46">
        <v>30403.83</v>
      </c>
      <c r="L46">
        <v>24566.29</v>
      </c>
      <c r="M46">
        <v>5837.54</v>
      </c>
    </row>
    <row r="47" spans="1:13" x14ac:dyDescent="0.3">
      <c r="A47" t="s">
        <v>61</v>
      </c>
      <c r="B47" s="1">
        <v>45708</v>
      </c>
      <c r="C47" t="s">
        <v>517</v>
      </c>
      <c r="D47" t="s">
        <v>523</v>
      </c>
      <c r="E47" t="s">
        <v>544</v>
      </c>
      <c r="F47" t="s">
        <v>571</v>
      </c>
      <c r="G47" t="s">
        <v>574</v>
      </c>
      <c r="H47">
        <v>1</v>
      </c>
      <c r="I47">
        <v>70869.05</v>
      </c>
      <c r="J47">
        <v>0.15</v>
      </c>
      <c r="K47">
        <v>60238.69</v>
      </c>
      <c r="L47">
        <v>44335.68</v>
      </c>
      <c r="M47">
        <v>15903.01</v>
      </c>
    </row>
    <row r="48" spans="1:13" x14ac:dyDescent="0.3">
      <c r="A48" t="s">
        <v>62</v>
      </c>
      <c r="B48" s="1">
        <v>45632</v>
      </c>
      <c r="C48" t="s">
        <v>519</v>
      </c>
      <c r="D48" t="s">
        <v>533</v>
      </c>
      <c r="E48" t="s">
        <v>555</v>
      </c>
      <c r="F48" t="s">
        <v>571</v>
      </c>
      <c r="G48" t="s">
        <v>575</v>
      </c>
      <c r="H48">
        <v>2</v>
      </c>
      <c r="I48">
        <v>32455.71</v>
      </c>
      <c r="J48">
        <v>0.1</v>
      </c>
      <c r="K48">
        <v>58420.28</v>
      </c>
      <c r="L48">
        <v>45684.66</v>
      </c>
      <c r="M48">
        <v>12735.62</v>
      </c>
    </row>
    <row r="49" spans="1:13" x14ac:dyDescent="0.3">
      <c r="A49" t="s">
        <v>63</v>
      </c>
      <c r="B49" s="1">
        <v>45519</v>
      </c>
      <c r="C49" t="s">
        <v>518</v>
      </c>
      <c r="D49" t="s">
        <v>529</v>
      </c>
      <c r="E49" t="s">
        <v>553</v>
      </c>
      <c r="F49" t="s">
        <v>572</v>
      </c>
      <c r="G49" t="s">
        <v>583</v>
      </c>
      <c r="H49">
        <v>2</v>
      </c>
      <c r="I49">
        <v>484.7</v>
      </c>
      <c r="J49">
        <v>0</v>
      </c>
      <c r="K49">
        <v>969.4</v>
      </c>
      <c r="L49">
        <v>777.46</v>
      </c>
      <c r="M49">
        <v>191.94</v>
      </c>
    </row>
    <row r="50" spans="1:13" x14ac:dyDescent="0.3">
      <c r="A50" t="s">
        <v>64</v>
      </c>
      <c r="B50" s="1">
        <v>45700</v>
      </c>
      <c r="C50" t="s">
        <v>520</v>
      </c>
      <c r="D50" t="s">
        <v>535</v>
      </c>
      <c r="E50" t="s">
        <v>565</v>
      </c>
      <c r="F50" t="s">
        <v>572</v>
      </c>
      <c r="G50" t="s">
        <v>577</v>
      </c>
      <c r="H50">
        <v>1</v>
      </c>
      <c r="I50">
        <v>1300.8900000000001</v>
      </c>
      <c r="J50">
        <v>0</v>
      </c>
      <c r="K50">
        <v>1300.8900000000001</v>
      </c>
      <c r="L50">
        <v>1069.33</v>
      </c>
      <c r="M50">
        <v>231.56</v>
      </c>
    </row>
    <row r="51" spans="1:13" x14ac:dyDescent="0.3">
      <c r="A51" t="s">
        <v>65</v>
      </c>
      <c r="B51" s="1">
        <v>45841</v>
      </c>
      <c r="C51" t="s">
        <v>520</v>
      </c>
      <c r="D51" t="s">
        <v>528</v>
      </c>
      <c r="E51" t="s">
        <v>547</v>
      </c>
      <c r="F51" t="s">
        <v>572</v>
      </c>
      <c r="G51" t="s">
        <v>583</v>
      </c>
      <c r="H51">
        <v>1</v>
      </c>
      <c r="I51">
        <v>1182.1500000000001</v>
      </c>
      <c r="J51">
        <v>0</v>
      </c>
      <c r="K51">
        <v>1182.1500000000001</v>
      </c>
      <c r="L51">
        <v>1085.21</v>
      </c>
      <c r="M51">
        <v>96.94</v>
      </c>
    </row>
    <row r="52" spans="1:13" x14ac:dyDescent="0.3">
      <c r="A52" t="s">
        <v>66</v>
      </c>
      <c r="B52" s="1">
        <v>45331</v>
      </c>
      <c r="C52" t="s">
        <v>516</v>
      </c>
      <c r="D52" t="s">
        <v>522</v>
      </c>
      <c r="E52" t="s">
        <v>545</v>
      </c>
      <c r="F52" t="s">
        <v>573</v>
      </c>
      <c r="G52" t="s">
        <v>580</v>
      </c>
      <c r="H52">
        <v>1</v>
      </c>
      <c r="I52">
        <v>12037.06</v>
      </c>
      <c r="J52">
        <v>0</v>
      </c>
      <c r="K52">
        <v>12037.06</v>
      </c>
      <c r="L52">
        <v>9136.1299999999992</v>
      </c>
      <c r="M52">
        <v>2900.93</v>
      </c>
    </row>
    <row r="53" spans="1:13" x14ac:dyDescent="0.3">
      <c r="A53" t="s">
        <v>67</v>
      </c>
      <c r="B53" s="1">
        <v>45410</v>
      </c>
      <c r="C53" t="s">
        <v>519</v>
      </c>
      <c r="D53" t="s">
        <v>533</v>
      </c>
      <c r="E53" t="s">
        <v>555</v>
      </c>
      <c r="F53" t="s">
        <v>571</v>
      </c>
      <c r="G53" t="s">
        <v>576</v>
      </c>
      <c r="H53">
        <v>1</v>
      </c>
      <c r="I53">
        <v>3130.23</v>
      </c>
      <c r="J53">
        <v>0</v>
      </c>
      <c r="K53">
        <v>3130.23</v>
      </c>
      <c r="L53">
        <v>2494.79</v>
      </c>
      <c r="M53">
        <v>635.44000000000005</v>
      </c>
    </row>
    <row r="54" spans="1:13" x14ac:dyDescent="0.3">
      <c r="A54" t="s">
        <v>68</v>
      </c>
      <c r="B54" s="1">
        <v>45843</v>
      </c>
      <c r="C54" t="s">
        <v>518</v>
      </c>
      <c r="D54" t="s">
        <v>529</v>
      </c>
      <c r="E54" t="s">
        <v>553</v>
      </c>
      <c r="F54" t="s">
        <v>571</v>
      </c>
      <c r="G54" t="s">
        <v>578</v>
      </c>
      <c r="H54">
        <v>3</v>
      </c>
      <c r="I54">
        <v>50982.97</v>
      </c>
      <c r="J54">
        <v>0</v>
      </c>
      <c r="K54">
        <v>152948.91</v>
      </c>
      <c r="L54">
        <v>133830.29999999999</v>
      </c>
      <c r="M54">
        <v>19118.61</v>
      </c>
    </row>
    <row r="55" spans="1:13" x14ac:dyDescent="0.3">
      <c r="A55" t="s">
        <v>69</v>
      </c>
      <c r="B55" s="1">
        <v>45419</v>
      </c>
      <c r="C55" t="s">
        <v>520</v>
      </c>
      <c r="D55" t="s">
        <v>535</v>
      </c>
      <c r="E55" t="s">
        <v>559</v>
      </c>
      <c r="F55" t="s">
        <v>572</v>
      </c>
      <c r="G55" t="s">
        <v>586</v>
      </c>
      <c r="H55">
        <v>1</v>
      </c>
      <c r="I55">
        <v>1409.56</v>
      </c>
      <c r="J55">
        <v>0</v>
      </c>
      <c r="K55">
        <v>1409.56</v>
      </c>
      <c r="L55">
        <v>1019.11</v>
      </c>
      <c r="M55">
        <v>390.45</v>
      </c>
    </row>
    <row r="56" spans="1:13" x14ac:dyDescent="0.3">
      <c r="A56" t="s">
        <v>70</v>
      </c>
      <c r="B56" s="1">
        <v>45488</v>
      </c>
      <c r="C56" t="s">
        <v>519</v>
      </c>
      <c r="D56" t="s">
        <v>534</v>
      </c>
      <c r="E56" t="s">
        <v>566</v>
      </c>
      <c r="F56" t="s">
        <v>573</v>
      </c>
      <c r="G56" t="s">
        <v>584</v>
      </c>
      <c r="H56">
        <v>1</v>
      </c>
      <c r="I56">
        <v>8921.85</v>
      </c>
      <c r="J56">
        <v>0</v>
      </c>
      <c r="K56">
        <v>8921.85</v>
      </c>
      <c r="L56">
        <v>8270.5499999999993</v>
      </c>
      <c r="M56">
        <v>651.29999999999995</v>
      </c>
    </row>
    <row r="57" spans="1:13" x14ac:dyDescent="0.3">
      <c r="A57" t="s">
        <v>71</v>
      </c>
      <c r="B57" s="1">
        <v>45292</v>
      </c>
      <c r="C57" t="s">
        <v>520</v>
      </c>
      <c r="D57" t="s">
        <v>535</v>
      </c>
      <c r="E57" t="s">
        <v>565</v>
      </c>
      <c r="F57" t="s">
        <v>572</v>
      </c>
      <c r="G57" t="s">
        <v>587</v>
      </c>
      <c r="H57">
        <v>1</v>
      </c>
      <c r="I57">
        <v>1232.99</v>
      </c>
      <c r="J57">
        <v>0</v>
      </c>
      <c r="K57">
        <v>1232.99</v>
      </c>
      <c r="L57">
        <v>1112.1600000000001</v>
      </c>
      <c r="M57">
        <v>120.83</v>
      </c>
    </row>
    <row r="58" spans="1:13" x14ac:dyDescent="0.3">
      <c r="A58" t="s">
        <v>72</v>
      </c>
      <c r="B58" s="1">
        <v>45744</v>
      </c>
      <c r="C58" t="s">
        <v>519</v>
      </c>
      <c r="D58" t="s">
        <v>533</v>
      </c>
      <c r="E58" t="s">
        <v>555</v>
      </c>
      <c r="F58" t="s">
        <v>573</v>
      </c>
      <c r="G58" t="s">
        <v>585</v>
      </c>
      <c r="H58">
        <v>3</v>
      </c>
      <c r="I58">
        <v>17153.57</v>
      </c>
      <c r="J58">
        <v>0</v>
      </c>
      <c r="K58">
        <v>51460.71</v>
      </c>
      <c r="L58">
        <v>36434.18</v>
      </c>
      <c r="M58">
        <v>15026.53</v>
      </c>
    </row>
    <row r="59" spans="1:13" x14ac:dyDescent="0.3">
      <c r="A59" t="s">
        <v>73</v>
      </c>
      <c r="B59" s="1">
        <v>45635</v>
      </c>
      <c r="C59" t="s">
        <v>516</v>
      </c>
      <c r="D59" t="s">
        <v>527</v>
      </c>
      <c r="E59" t="s">
        <v>558</v>
      </c>
      <c r="F59" t="s">
        <v>571</v>
      </c>
      <c r="G59" t="s">
        <v>574</v>
      </c>
      <c r="H59">
        <v>1</v>
      </c>
      <c r="I59">
        <v>14346.26</v>
      </c>
      <c r="J59">
        <v>0.1</v>
      </c>
      <c r="K59">
        <v>12911.63</v>
      </c>
      <c r="L59">
        <v>8896.11</v>
      </c>
      <c r="M59">
        <v>4015.52</v>
      </c>
    </row>
    <row r="60" spans="1:13" x14ac:dyDescent="0.3">
      <c r="A60" t="s">
        <v>74</v>
      </c>
      <c r="B60" s="1">
        <v>45366</v>
      </c>
      <c r="C60" t="s">
        <v>519</v>
      </c>
      <c r="D60" t="s">
        <v>534</v>
      </c>
      <c r="E60" t="s">
        <v>566</v>
      </c>
      <c r="F60" t="s">
        <v>573</v>
      </c>
      <c r="G60" t="s">
        <v>581</v>
      </c>
      <c r="H60">
        <v>2</v>
      </c>
      <c r="I60">
        <v>13370.67</v>
      </c>
      <c r="J60">
        <v>0</v>
      </c>
      <c r="K60">
        <v>26741.34</v>
      </c>
      <c r="L60">
        <v>23906.76</v>
      </c>
      <c r="M60">
        <v>2834.58</v>
      </c>
    </row>
    <row r="61" spans="1:13" x14ac:dyDescent="0.3">
      <c r="A61" t="s">
        <v>75</v>
      </c>
      <c r="B61" s="1">
        <v>45297</v>
      </c>
      <c r="C61" t="s">
        <v>516</v>
      </c>
      <c r="D61" t="s">
        <v>522</v>
      </c>
      <c r="E61" t="s">
        <v>539</v>
      </c>
      <c r="F61" t="s">
        <v>571</v>
      </c>
      <c r="G61" t="s">
        <v>579</v>
      </c>
      <c r="H61">
        <v>3</v>
      </c>
      <c r="I61">
        <v>38770.339999999997</v>
      </c>
      <c r="J61">
        <v>0</v>
      </c>
      <c r="K61">
        <v>116311.02</v>
      </c>
      <c r="L61">
        <v>91653.08</v>
      </c>
      <c r="M61">
        <v>24657.94</v>
      </c>
    </row>
    <row r="62" spans="1:13" x14ac:dyDescent="0.3">
      <c r="A62" t="s">
        <v>76</v>
      </c>
      <c r="B62" s="1">
        <v>45416</v>
      </c>
      <c r="C62" t="s">
        <v>519</v>
      </c>
      <c r="D62" t="s">
        <v>533</v>
      </c>
      <c r="E62" t="s">
        <v>555</v>
      </c>
      <c r="F62" t="s">
        <v>573</v>
      </c>
      <c r="G62" t="s">
        <v>584</v>
      </c>
      <c r="H62">
        <v>2</v>
      </c>
      <c r="I62">
        <v>24721.53</v>
      </c>
      <c r="J62">
        <v>0</v>
      </c>
      <c r="K62">
        <v>49443.06</v>
      </c>
      <c r="L62">
        <v>33670.720000000001</v>
      </c>
      <c r="M62">
        <v>15772.34</v>
      </c>
    </row>
    <row r="63" spans="1:13" x14ac:dyDescent="0.3">
      <c r="A63" t="s">
        <v>77</v>
      </c>
      <c r="B63" s="1">
        <v>45745</v>
      </c>
      <c r="C63" t="s">
        <v>517</v>
      </c>
      <c r="D63" t="s">
        <v>530</v>
      </c>
      <c r="E63" t="s">
        <v>549</v>
      </c>
      <c r="F63" t="s">
        <v>571</v>
      </c>
      <c r="G63" t="s">
        <v>576</v>
      </c>
      <c r="H63">
        <v>1</v>
      </c>
      <c r="I63">
        <v>37655.370000000003</v>
      </c>
      <c r="J63">
        <v>0</v>
      </c>
      <c r="K63">
        <v>37655.370000000003</v>
      </c>
      <c r="L63">
        <v>34529.97</v>
      </c>
      <c r="M63">
        <v>3125.4</v>
      </c>
    </row>
    <row r="64" spans="1:13" x14ac:dyDescent="0.3">
      <c r="A64" t="s">
        <v>78</v>
      </c>
      <c r="B64" s="1">
        <v>45575</v>
      </c>
      <c r="C64" t="s">
        <v>517</v>
      </c>
      <c r="D64" t="s">
        <v>530</v>
      </c>
      <c r="E64" t="s">
        <v>567</v>
      </c>
      <c r="F64" t="s">
        <v>572</v>
      </c>
      <c r="G64" t="s">
        <v>586</v>
      </c>
      <c r="H64">
        <v>1</v>
      </c>
      <c r="I64">
        <v>201.09</v>
      </c>
      <c r="J64">
        <v>0</v>
      </c>
      <c r="K64">
        <v>201.09</v>
      </c>
      <c r="L64">
        <v>165.3</v>
      </c>
      <c r="M64">
        <v>35.79</v>
      </c>
    </row>
    <row r="65" spans="1:13" x14ac:dyDescent="0.3">
      <c r="A65" t="s">
        <v>79</v>
      </c>
      <c r="B65" s="1">
        <v>45570</v>
      </c>
      <c r="C65" t="s">
        <v>520</v>
      </c>
      <c r="D65" t="s">
        <v>535</v>
      </c>
      <c r="E65" t="s">
        <v>565</v>
      </c>
      <c r="F65" t="s">
        <v>571</v>
      </c>
      <c r="G65" t="s">
        <v>574</v>
      </c>
      <c r="H65">
        <v>2</v>
      </c>
      <c r="I65">
        <v>20807.13</v>
      </c>
      <c r="J65">
        <v>0</v>
      </c>
      <c r="K65">
        <v>41614.26</v>
      </c>
      <c r="L65">
        <v>28797.07</v>
      </c>
      <c r="M65">
        <v>12817.19</v>
      </c>
    </row>
    <row r="66" spans="1:13" x14ac:dyDescent="0.3">
      <c r="A66" t="s">
        <v>80</v>
      </c>
      <c r="B66" s="1">
        <v>45511</v>
      </c>
      <c r="C66" t="s">
        <v>516</v>
      </c>
      <c r="D66" t="s">
        <v>522</v>
      </c>
      <c r="E66" t="s">
        <v>545</v>
      </c>
      <c r="F66" t="s">
        <v>572</v>
      </c>
      <c r="G66" t="s">
        <v>587</v>
      </c>
      <c r="H66">
        <v>1</v>
      </c>
      <c r="I66">
        <v>958.55</v>
      </c>
      <c r="J66">
        <v>0.1</v>
      </c>
      <c r="K66">
        <v>862.69</v>
      </c>
      <c r="L66">
        <v>687.56</v>
      </c>
      <c r="M66">
        <v>175.13</v>
      </c>
    </row>
    <row r="67" spans="1:13" x14ac:dyDescent="0.3">
      <c r="A67" t="s">
        <v>81</v>
      </c>
      <c r="B67" s="1">
        <v>45690</v>
      </c>
      <c r="C67" t="s">
        <v>517</v>
      </c>
      <c r="D67" t="s">
        <v>536</v>
      </c>
      <c r="E67" t="s">
        <v>560</v>
      </c>
      <c r="F67" t="s">
        <v>572</v>
      </c>
      <c r="G67" t="s">
        <v>588</v>
      </c>
      <c r="H67">
        <v>1</v>
      </c>
      <c r="I67">
        <v>1888.35</v>
      </c>
      <c r="J67">
        <v>0</v>
      </c>
      <c r="K67">
        <v>1888.35</v>
      </c>
      <c r="L67">
        <v>1667.41</v>
      </c>
      <c r="M67">
        <v>220.94</v>
      </c>
    </row>
    <row r="68" spans="1:13" x14ac:dyDescent="0.3">
      <c r="A68" t="s">
        <v>82</v>
      </c>
      <c r="B68" s="1">
        <v>45691</v>
      </c>
      <c r="C68" t="s">
        <v>519</v>
      </c>
      <c r="D68" t="s">
        <v>533</v>
      </c>
      <c r="E68" t="s">
        <v>555</v>
      </c>
      <c r="F68" t="s">
        <v>571</v>
      </c>
      <c r="G68" t="s">
        <v>578</v>
      </c>
      <c r="H68">
        <v>1</v>
      </c>
      <c r="I68">
        <v>36559.370000000003</v>
      </c>
      <c r="J68">
        <v>0.1</v>
      </c>
      <c r="K68">
        <v>32903.43</v>
      </c>
      <c r="L68">
        <v>27935.01</v>
      </c>
      <c r="M68">
        <v>4968.42</v>
      </c>
    </row>
    <row r="69" spans="1:13" x14ac:dyDescent="0.3">
      <c r="A69" t="s">
        <v>83</v>
      </c>
      <c r="B69" s="1">
        <v>45706</v>
      </c>
      <c r="C69" t="s">
        <v>518</v>
      </c>
      <c r="D69" t="s">
        <v>529</v>
      </c>
      <c r="E69" t="s">
        <v>548</v>
      </c>
      <c r="F69" t="s">
        <v>573</v>
      </c>
      <c r="G69" t="s">
        <v>584</v>
      </c>
      <c r="H69">
        <v>4</v>
      </c>
      <c r="I69">
        <v>2620.23</v>
      </c>
      <c r="J69">
        <v>0</v>
      </c>
      <c r="K69">
        <v>10480.92</v>
      </c>
      <c r="L69">
        <v>8940.2199999999993</v>
      </c>
      <c r="M69">
        <v>1540.7</v>
      </c>
    </row>
    <row r="70" spans="1:13" x14ac:dyDescent="0.3">
      <c r="A70" t="s">
        <v>84</v>
      </c>
      <c r="B70" s="1">
        <v>45869</v>
      </c>
      <c r="C70" t="s">
        <v>516</v>
      </c>
      <c r="D70" t="s">
        <v>525</v>
      </c>
      <c r="E70" t="s">
        <v>542</v>
      </c>
      <c r="F70" t="s">
        <v>571</v>
      </c>
      <c r="G70" t="s">
        <v>576</v>
      </c>
      <c r="H70">
        <v>1</v>
      </c>
      <c r="I70">
        <v>16993.14</v>
      </c>
      <c r="J70">
        <v>0</v>
      </c>
      <c r="K70">
        <v>16993.14</v>
      </c>
      <c r="L70">
        <v>12557.93</v>
      </c>
      <c r="M70">
        <v>4435.21</v>
      </c>
    </row>
    <row r="71" spans="1:13" x14ac:dyDescent="0.3">
      <c r="A71" t="s">
        <v>85</v>
      </c>
      <c r="B71" s="1">
        <v>45627</v>
      </c>
      <c r="C71" t="s">
        <v>518</v>
      </c>
      <c r="D71" t="s">
        <v>529</v>
      </c>
      <c r="E71" t="s">
        <v>553</v>
      </c>
      <c r="F71" t="s">
        <v>572</v>
      </c>
      <c r="G71" t="s">
        <v>586</v>
      </c>
      <c r="H71">
        <v>1</v>
      </c>
      <c r="I71">
        <v>592.6</v>
      </c>
      <c r="J71">
        <v>0</v>
      </c>
      <c r="K71">
        <v>592.6</v>
      </c>
      <c r="L71">
        <v>389.93</v>
      </c>
      <c r="M71">
        <v>202.67</v>
      </c>
    </row>
    <row r="72" spans="1:13" x14ac:dyDescent="0.3">
      <c r="A72" t="s">
        <v>86</v>
      </c>
      <c r="B72" s="1">
        <v>45723</v>
      </c>
      <c r="C72" t="s">
        <v>520</v>
      </c>
      <c r="D72" t="s">
        <v>528</v>
      </c>
      <c r="E72" t="s">
        <v>552</v>
      </c>
      <c r="F72" t="s">
        <v>571</v>
      </c>
      <c r="G72" t="s">
        <v>579</v>
      </c>
      <c r="H72">
        <v>4</v>
      </c>
      <c r="I72">
        <v>7010.59</v>
      </c>
      <c r="J72">
        <v>0</v>
      </c>
      <c r="K72">
        <v>28042.36</v>
      </c>
      <c r="L72">
        <v>24509.02</v>
      </c>
      <c r="M72">
        <v>3533.34</v>
      </c>
    </row>
    <row r="73" spans="1:13" x14ac:dyDescent="0.3">
      <c r="A73" t="s">
        <v>87</v>
      </c>
      <c r="B73" s="1">
        <v>45521</v>
      </c>
      <c r="C73" t="s">
        <v>516</v>
      </c>
      <c r="D73" t="s">
        <v>525</v>
      </c>
      <c r="E73" t="s">
        <v>557</v>
      </c>
      <c r="F73" t="s">
        <v>571</v>
      </c>
      <c r="G73" t="s">
        <v>574</v>
      </c>
      <c r="H73">
        <v>1</v>
      </c>
      <c r="I73">
        <v>67620.62</v>
      </c>
      <c r="J73">
        <v>0</v>
      </c>
      <c r="K73">
        <v>67620.62</v>
      </c>
      <c r="L73">
        <v>58153.73</v>
      </c>
      <c r="M73">
        <v>9466.89</v>
      </c>
    </row>
    <row r="74" spans="1:13" x14ac:dyDescent="0.3">
      <c r="A74" t="s">
        <v>88</v>
      </c>
      <c r="B74" s="1">
        <v>45536</v>
      </c>
      <c r="C74" t="s">
        <v>518</v>
      </c>
      <c r="D74" t="s">
        <v>529</v>
      </c>
      <c r="E74" t="s">
        <v>548</v>
      </c>
      <c r="F74" t="s">
        <v>573</v>
      </c>
      <c r="G74" t="s">
        <v>585</v>
      </c>
      <c r="H74">
        <v>1</v>
      </c>
      <c r="I74">
        <v>12695.78</v>
      </c>
      <c r="J74">
        <v>0</v>
      </c>
      <c r="K74">
        <v>12695.78</v>
      </c>
      <c r="L74">
        <v>11921.34</v>
      </c>
      <c r="M74">
        <v>774.44</v>
      </c>
    </row>
    <row r="75" spans="1:13" x14ac:dyDescent="0.3">
      <c r="A75" t="s">
        <v>89</v>
      </c>
      <c r="B75" s="1">
        <v>45669</v>
      </c>
      <c r="C75" t="s">
        <v>518</v>
      </c>
      <c r="D75" t="s">
        <v>524</v>
      </c>
      <c r="E75" t="s">
        <v>550</v>
      </c>
      <c r="F75" t="s">
        <v>571</v>
      </c>
      <c r="G75" t="s">
        <v>578</v>
      </c>
      <c r="H75">
        <v>1</v>
      </c>
      <c r="I75">
        <v>11323.6</v>
      </c>
      <c r="J75">
        <v>0.1</v>
      </c>
      <c r="K75">
        <v>10191.24</v>
      </c>
      <c r="L75">
        <v>8142.8</v>
      </c>
      <c r="M75">
        <v>2048.44</v>
      </c>
    </row>
    <row r="76" spans="1:13" x14ac:dyDescent="0.3">
      <c r="A76" t="s">
        <v>90</v>
      </c>
      <c r="B76" s="1">
        <v>45881</v>
      </c>
      <c r="C76" t="s">
        <v>519</v>
      </c>
      <c r="D76" t="s">
        <v>534</v>
      </c>
      <c r="E76" t="s">
        <v>566</v>
      </c>
      <c r="F76" t="s">
        <v>571</v>
      </c>
      <c r="G76" t="s">
        <v>579</v>
      </c>
      <c r="H76">
        <v>1</v>
      </c>
      <c r="I76">
        <v>56177.31</v>
      </c>
      <c r="J76">
        <v>0</v>
      </c>
      <c r="K76">
        <v>56177.31</v>
      </c>
      <c r="L76">
        <v>48649.55</v>
      </c>
      <c r="M76">
        <v>7527.76</v>
      </c>
    </row>
    <row r="77" spans="1:13" x14ac:dyDescent="0.3">
      <c r="A77" t="s">
        <v>91</v>
      </c>
      <c r="B77" s="1">
        <v>45396</v>
      </c>
      <c r="C77" t="s">
        <v>520</v>
      </c>
      <c r="D77" t="s">
        <v>528</v>
      </c>
      <c r="E77" t="s">
        <v>547</v>
      </c>
      <c r="F77" t="s">
        <v>572</v>
      </c>
      <c r="G77" t="s">
        <v>587</v>
      </c>
      <c r="H77">
        <v>3</v>
      </c>
      <c r="I77">
        <v>885.34</v>
      </c>
      <c r="J77">
        <v>0</v>
      </c>
      <c r="K77">
        <v>2656.02</v>
      </c>
      <c r="L77">
        <v>2331.9899999999998</v>
      </c>
      <c r="M77">
        <v>324.02999999999997</v>
      </c>
    </row>
    <row r="78" spans="1:13" x14ac:dyDescent="0.3">
      <c r="A78" t="s">
        <v>92</v>
      </c>
      <c r="B78" s="1">
        <v>45810</v>
      </c>
      <c r="C78" t="s">
        <v>520</v>
      </c>
      <c r="D78" t="s">
        <v>528</v>
      </c>
      <c r="E78" t="s">
        <v>552</v>
      </c>
      <c r="F78" t="s">
        <v>572</v>
      </c>
      <c r="G78" t="s">
        <v>588</v>
      </c>
      <c r="H78">
        <v>1</v>
      </c>
      <c r="I78">
        <v>895.37</v>
      </c>
      <c r="J78">
        <v>0</v>
      </c>
      <c r="K78">
        <v>895.37</v>
      </c>
      <c r="L78">
        <v>718.98</v>
      </c>
      <c r="M78">
        <v>176.39</v>
      </c>
    </row>
    <row r="79" spans="1:13" x14ac:dyDescent="0.3">
      <c r="A79" t="s">
        <v>93</v>
      </c>
      <c r="B79" s="1">
        <v>45762</v>
      </c>
      <c r="C79" t="s">
        <v>518</v>
      </c>
      <c r="D79" t="s">
        <v>529</v>
      </c>
      <c r="E79" t="s">
        <v>548</v>
      </c>
      <c r="F79" t="s">
        <v>573</v>
      </c>
      <c r="G79" t="s">
        <v>584</v>
      </c>
      <c r="H79">
        <v>5</v>
      </c>
      <c r="I79">
        <v>24205.9</v>
      </c>
      <c r="J79">
        <v>0</v>
      </c>
      <c r="K79">
        <v>121029.5</v>
      </c>
      <c r="L79">
        <v>106142.87</v>
      </c>
      <c r="M79">
        <v>14886.63</v>
      </c>
    </row>
    <row r="80" spans="1:13" x14ac:dyDescent="0.3">
      <c r="A80" t="s">
        <v>94</v>
      </c>
      <c r="B80" s="1">
        <v>45843</v>
      </c>
      <c r="C80" t="s">
        <v>519</v>
      </c>
      <c r="D80" t="s">
        <v>534</v>
      </c>
      <c r="E80" t="s">
        <v>556</v>
      </c>
      <c r="F80" t="s">
        <v>573</v>
      </c>
      <c r="G80" t="s">
        <v>584</v>
      </c>
      <c r="H80">
        <v>2</v>
      </c>
      <c r="I80">
        <v>8173.1</v>
      </c>
      <c r="J80">
        <v>0</v>
      </c>
      <c r="K80">
        <v>16346.2</v>
      </c>
      <c r="L80">
        <v>11801.96</v>
      </c>
      <c r="M80">
        <v>4544.24</v>
      </c>
    </row>
    <row r="81" spans="1:13" x14ac:dyDescent="0.3">
      <c r="A81" t="s">
        <v>95</v>
      </c>
      <c r="B81" s="1">
        <v>45380</v>
      </c>
      <c r="C81" t="s">
        <v>520</v>
      </c>
      <c r="D81" t="s">
        <v>535</v>
      </c>
      <c r="E81" t="s">
        <v>565</v>
      </c>
      <c r="F81" t="s">
        <v>572</v>
      </c>
      <c r="G81" t="s">
        <v>587</v>
      </c>
      <c r="H81">
        <v>1</v>
      </c>
      <c r="I81">
        <v>1240.1500000000001</v>
      </c>
      <c r="J81">
        <v>0</v>
      </c>
      <c r="K81">
        <v>1240.1500000000001</v>
      </c>
      <c r="L81">
        <v>907.79</v>
      </c>
      <c r="M81">
        <v>332.36</v>
      </c>
    </row>
    <row r="82" spans="1:13" x14ac:dyDescent="0.3">
      <c r="A82" t="s">
        <v>96</v>
      </c>
      <c r="B82" s="1">
        <v>45321</v>
      </c>
      <c r="C82" t="s">
        <v>519</v>
      </c>
      <c r="D82" t="s">
        <v>532</v>
      </c>
      <c r="E82" t="s">
        <v>564</v>
      </c>
      <c r="F82" t="s">
        <v>572</v>
      </c>
      <c r="G82" t="s">
        <v>583</v>
      </c>
      <c r="H82">
        <v>1</v>
      </c>
      <c r="I82">
        <v>741.91</v>
      </c>
      <c r="J82">
        <v>0</v>
      </c>
      <c r="K82">
        <v>741.91</v>
      </c>
      <c r="L82">
        <v>563.85</v>
      </c>
      <c r="M82">
        <v>178.06</v>
      </c>
    </row>
    <row r="83" spans="1:13" x14ac:dyDescent="0.3">
      <c r="A83" t="s">
        <v>97</v>
      </c>
      <c r="B83" s="1">
        <v>45578</v>
      </c>
      <c r="C83" t="s">
        <v>517</v>
      </c>
      <c r="D83" t="s">
        <v>531</v>
      </c>
      <c r="E83" t="s">
        <v>551</v>
      </c>
      <c r="F83" t="s">
        <v>573</v>
      </c>
      <c r="G83" t="s">
        <v>585</v>
      </c>
      <c r="H83">
        <v>1</v>
      </c>
      <c r="I83">
        <v>3969.1</v>
      </c>
      <c r="J83">
        <v>0</v>
      </c>
      <c r="K83">
        <v>3969.1</v>
      </c>
      <c r="L83">
        <v>3131.62</v>
      </c>
      <c r="M83">
        <v>837.48</v>
      </c>
    </row>
    <row r="84" spans="1:13" x14ac:dyDescent="0.3">
      <c r="A84" t="s">
        <v>98</v>
      </c>
      <c r="B84" s="1">
        <v>45792</v>
      </c>
      <c r="C84" t="s">
        <v>517</v>
      </c>
      <c r="D84" t="s">
        <v>523</v>
      </c>
      <c r="E84" t="s">
        <v>540</v>
      </c>
      <c r="F84" t="s">
        <v>573</v>
      </c>
      <c r="G84" t="s">
        <v>581</v>
      </c>
      <c r="H84">
        <v>1</v>
      </c>
      <c r="I84">
        <v>12308.01</v>
      </c>
      <c r="J84">
        <v>0.1</v>
      </c>
      <c r="K84">
        <v>11077.21</v>
      </c>
      <c r="L84">
        <v>7742.97</v>
      </c>
      <c r="M84">
        <v>3334.24</v>
      </c>
    </row>
    <row r="85" spans="1:13" x14ac:dyDescent="0.3">
      <c r="A85" t="s">
        <v>99</v>
      </c>
      <c r="B85" s="1">
        <v>45518</v>
      </c>
      <c r="C85" t="s">
        <v>519</v>
      </c>
      <c r="D85" t="s">
        <v>533</v>
      </c>
      <c r="E85" t="s">
        <v>555</v>
      </c>
      <c r="F85" t="s">
        <v>573</v>
      </c>
      <c r="G85" t="s">
        <v>584</v>
      </c>
      <c r="H85">
        <v>1</v>
      </c>
      <c r="I85">
        <v>10487.47</v>
      </c>
      <c r="J85">
        <v>0</v>
      </c>
      <c r="K85">
        <v>10487.47</v>
      </c>
      <c r="L85">
        <v>9375.7999999999993</v>
      </c>
      <c r="M85">
        <v>1111.67</v>
      </c>
    </row>
    <row r="86" spans="1:13" x14ac:dyDescent="0.3">
      <c r="A86" t="s">
        <v>100</v>
      </c>
      <c r="B86" s="1">
        <v>45644</v>
      </c>
      <c r="C86" t="s">
        <v>519</v>
      </c>
      <c r="D86" t="s">
        <v>532</v>
      </c>
      <c r="E86" t="s">
        <v>554</v>
      </c>
      <c r="F86" t="s">
        <v>573</v>
      </c>
      <c r="G86" t="s">
        <v>581</v>
      </c>
      <c r="H86">
        <v>1</v>
      </c>
      <c r="I86">
        <v>8231.08</v>
      </c>
      <c r="J86">
        <v>0</v>
      </c>
      <c r="K86">
        <v>8231.08</v>
      </c>
      <c r="L86">
        <v>6362.62</v>
      </c>
      <c r="M86">
        <v>1868.46</v>
      </c>
    </row>
    <row r="87" spans="1:13" x14ac:dyDescent="0.3">
      <c r="A87" t="s">
        <v>101</v>
      </c>
      <c r="B87" s="1">
        <v>45415</v>
      </c>
      <c r="C87" t="s">
        <v>518</v>
      </c>
      <c r="D87" t="s">
        <v>529</v>
      </c>
      <c r="E87" t="s">
        <v>548</v>
      </c>
      <c r="F87" t="s">
        <v>573</v>
      </c>
      <c r="G87" t="s">
        <v>584</v>
      </c>
      <c r="H87">
        <v>2</v>
      </c>
      <c r="I87">
        <v>23870.18</v>
      </c>
      <c r="J87">
        <v>0</v>
      </c>
      <c r="K87">
        <v>47740.36</v>
      </c>
      <c r="L87">
        <v>45114.64</v>
      </c>
      <c r="M87">
        <v>2625.72</v>
      </c>
    </row>
    <row r="88" spans="1:13" x14ac:dyDescent="0.3">
      <c r="A88" t="s">
        <v>102</v>
      </c>
      <c r="B88" s="1">
        <v>45488</v>
      </c>
      <c r="C88" t="s">
        <v>518</v>
      </c>
      <c r="D88" t="s">
        <v>524</v>
      </c>
      <c r="E88" t="s">
        <v>541</v>
      </c>
      <c r="F88" t="s">
        <v>572</v>
      </c>
      <c r="G88" t="s">
        <v>587</v>
      </c>
      <c r="H88">
        <v>1</v>
      </c>
      <c r="I88">
        <v>1954.38</v>
      </c>
      <c r="J88">
        <v>0</v>
      </c>
      <c r="K88">
        <v>1954.38</v>
      </c>
      <c r="L88">
        <v>1723.76</v>
      </c>
      <c r="M88">
        <v>230.62</v>
      </c>
    </row>
    <row r="89" spans="1:13" x14ac:dyDescent="0.3">
      <c r="A89" t="s">
        <v>103</v>
      </c>
      <c r="B89" s="1">
        <v>45581</v>
      </c>
      <c r="C89" t="s">
        <v>516</v>
      </c>
      <c r="D89" t="s">
        <v>527</v>
      </c>
      <c r="E89" t="s">
        <v>558</v>
      </c>
      <c r="F89" t="s">
        <v>571</v>
      </c>
      <c r="G89" t="s">
        <v>578</v>
      </c>
      <c r="H89">
        <v>1</v>
      </c>
      <c r="I89">
        <v>16817</v>
      </c>
      <c r="J89">
        <v>0.15</v>
      </c>
      <c r="K89">
        <v>14294.45</v>
      </c>
      <c r="L89">
        <v>12836.42</v>
      </c>
      <c r="M89">
        <v>1458.03</v>
      </c>
    </row>
    <row r="90" spans="1:13" x14ac:dyDescent="0.3">
      <c r="A90" t="s">
        <v>104</v>
      </c>
      <c r="B90" s="1">
        <v>45421</v>
      </c>
      <c r="C90" t="s">
        <v>520</v>
      </c>
      <c r="D90" t="s">
        <v>528</v>
      </c>
      <c r="E90" t="s">
        <v>547</v>
      </c>
      <c r="F90" t="s">
        <v>573</v>
      </c>
      <c r="G90" t="s">
        <v>580</v>
      </c>
      <c r="H90">
        <v>2</v>
      </c>
      <c r="I90">
        <v>18040.599999999999</v>
      </c>
      <c r="J90">
        <v>0.1</v>
      </c>
      <c r="K90">
        <v>32473.08</v>
      </c>
      <c r="L90">
        <v>27082.55</v>
      </c>
      <c r="M90">
        <v>5390.53</v>
      </c>
    </row>
    <row r="91" spans="1:13" x14ac:dyDescent="0.3">
      <c r="A91" t="s">
        <v>105</v>
      </c>
      <c r="B91" s="1">
        <v>45397</v>
      </c>
      <c r="C91" t="s">
        <v>516</v>
      </c>
      <c r="D91" t="s">
        <v>521</v>
      </c>
      <c r="E91" t="s">
        <v>568</v>
      </c>
      <c r="F91" t="s">
        <v>572</v>
      </c>
      <c r="G91" t="s">
        <v>586</v>
      </c>
      <c r="H91">
        <v>4</v>
      </c>
      <c r="I91">
        <v>714.38</v>
      </c>
      <c r="J91">
        <v>0</v>
      </c>
      <c r="K91">
        <v>2857.52</v>
      </c>
      <c r="L91">
        <v>2597.4899999999998</v>
      </c>
      <c r="M91">
        <v>260.02999999999997</v>
      </c>
    </row>
    <row r="92" spans="1:13" x14ac:dyDescent="0.3">
      <c r="A92" t="s">
        <v>106</v>
      </c>
      <c r="B92" s="1">
        <v>45550</v>
      </c>
      <c r="C92" t="s">
        <v>519</v>
      </c>
      <c r="D92" t="s">
        <v>526</v>
      </c>
      <c r="E92" t="s">
        <v>562</v>
      </c>
      <c r="F92" t="s">
        <v>572</v>
      </c>
      <c r="G92" t="s">
        <v>586</v>
      </c>
      <c r="H92">
        <v>1</v>
      </c>
      <c r="I92">
        <v>194.46</v>
      </c>
      <c r="J92">
        <v>0</v>
      </c>
      <c r="K92">
        <v>194.46</v>
      </c>
      <c r="L92">
        <v>178.13</v>
      </c>
      <c r="M92">
        <v>16.329999999999998</v>
      </c>
    </row>
    <row r="93" spans="1:13" x14ac:dyDescent="0.3">
      <c r="A93" t="s">
        <v>107</v>
      </c>
      <c r="B93" s="1">
        <v>45346</v>
      </c>
      <c r="C93" t="s">
        <v>518</v>
      </c>
      <c r="D93" t="s">
        <v>537</v>
      </c>
      <c r="E93" t="s">
        <v>569</v>
      </c>
      <c r="F93" t="s">
        <v>571</v>
      </c>
      <c r="G93" t="s">
        <v>574</v>
      </c>
      <c r="H93">
        <v>3</v>
      </c>
      <c r="I93">
        <v>12120.77</v>
      </c>
      <c r="J93">
        <v>0</v>
      </c>
      <c r="K93">
        <v>36362.31</v>
      </c>
      <c r="L93">
        <v>24980.91</v>
      </c>
      <c r="M93">
        <v>11381.4</v>
      </c>
    </row>
    <row r="94" spans="1:13" x14ac:dyDescent="0.3">
      <c r="A94" t="s">
        <v>108</v>
      </c>
      <c r="B94" s="1">
        <v>45523</v>
      </c>
      <c r="C94" t="s">
        <v>517</v>
      </c>
      <c r="D94" t="s">
        <v>530</v>
      </c>
      <c r="E94" t="s">
        <v>549</v>
      </c>
      <c r="F94" t="s">
        <v>572</v>
      </c>
      <c r="G94" t="s">
        <v>577</v>
      </c>
      <c r="H94">
        <v>1</v>
      </c>
      <c r="I94">
        <v>1727.32</v>
      </c>
      <c r="J94">
        <v>0</v>
      </c>
      <c r="K94">
        <v>1727.32</v>
      </c>
      <c r="L94">
        <v>1298.94</v>
      </c>
      <c r="M94">
        <v>428.38</v>
      </c>
    </row>
    <row r="95" spans="1:13" x14ac:dyDescent="0.3">
      <c r="A95" t="s">
        <v>109</v>
      </c>
      <c r="B95" s="1">
        <v>45604</v>
      </c>
      <c r="C95" t="s">
        <v>517</v>
      </c>
      <c r="D95" t="s">
        <v>536</v>
      </c>
      <c r="E95" t="s">
        <v>560</v>
      </c>
      <c r="F95" t="s">
        <v>571</v>
      </c>
      <c r="G95" t="s">
        <v>574</v>
      </c>
      <c r="H95">
        <v>2</v>
      </c>
      <c r="I95">
        <v>23377.75</v>
      </c>
      <c r="J95">
        <v>0.05</v>
      </c>
      <c r="K95">
        <v>44417.72</v>
      </c>
      <c r="L95">
        <v>34779.07</v>
      </c>
      <c r="M95">
        <v>9638.65</v>
      </c>
    </row>
    <row r="96" spans="1:13" x14ac:dyDescent="0.3">
      <c r="A96" t="s">
        <v>110</v>
      </c>
      <c r="B96" s="1">
        <v>45469</v>
      </c>
      <c r="C96" t="s">
        <v>517</v>
      </c>
      <c r="D96" t="s">
        <v>536</v>
      </c>
      <c r="E96" t="s">
        <v>560</v>
      </c>
      <c r="F96" t="s">
        <v>571</v>
      </c>
      <c r="G96" t="s">
        <v>576</v>
      </c>
      <c r="H96">
        <v>1</v>
      </c>
      <c r="I96">
        <v>37688.79</v>
      </c>
      <c r="J96">
        <v>0</v>
      </c>
      <c r="K96">
        <v>37688.79</v>
      </c>
      <c r="L96">
        <v>33053.07</v>
      </c>
      <c r="M96">
        <v>4635.72</v>
      </c>
    </row>
    <row r="97" spans="1:13" x14ac:dyDescent="0.3">
      <c r="A97" t="s">
        <v>111</v>
      </c>
      <c r="B97" s="1">
        <v>45590</v>
      </c>
      <c r="C97" t="s">
        <v>516</v>
      </c>
      <c r="D97" t="s">
        <v>527</v>
      </c>
      <c r="E97" t="s">
        <v>558</v>
      </c>
      <c r="F97" t="s">
        <v>573</v>
      </c>
      <c r="G97" t="s">
        <v>580</v>
      </c>
      <c r="H97">
        <v>1</v>
      </c>
      <c r="I97">
        <v>18168.71</v>
      </c>
      <c r="J97">
        <v>0</v>
      </c>
      <c r="K97">
        <v>18168.71</v>
      </c>
      <c r="L97">
        <v>12372.89</v>
      </c>
      <c r="M97">
        <v>5795.82</v>
      </c>
    </row>
    <row r="98" spans="1:13" x14ac:dyDescent="0.3">
      <c r="A98" t="s">
        <v>112</v>
      </c>
      <c r="B98" s="1">
        <v>45531</v>
      </c>
      <c r="C98" t="s">
        <v>520</v>
      </c>
      <c r="D98" t="s">
        <v>528</v>
      </c>
      <c r="E98" t="s">
        <v>552</v>
      </c>
      <c r="F98" t="s">
        <v>571</v>
      </c>
      <c r="G98" t="s">
        <v>579</v>
      </c>
      <c r="H98">
        <v>3</v>
      </c>
      <c r="I98">
        <v>20310.330000000002</v>
      </c>
      <c r="J98">
        <v>0.1</v>
      </c>
      <c r="K98">
        <v>54837.89</v>
      </c>
      <c r="L98">
        <v>41676.800000000003</v>
      </c>
      <c r="M98">
        <v>13161.09</v>
      </c>
    </row>
    <row r="99" spans="1:13" x14ac:dyDescent="0.3">
      <c r="A99" t="s">
        <v>113</v>
      </c>
      <c r="B99" s="1">
        <v>45437</v>
      </c>
      <c r="C99" t="s">
        <v>516</v>
      </c>
      <c r="D99" t="s">
        <v>525</v>
      </c>
      <c r="E99" t="s">
        <v>557</v>
      </c>
      <c r="F99" t="s">
        <v>572</v>
      </c>
      <c r="G99" t="s">
        <v>587</v>
      </c>
      <c r="H99">
        <v>1</v>
      </c>
      <c r="I99">
        <v>1510.47</v>
      </c>
      <c r="J99">
        <v>0</v>
      </c>
      <c r="K99">
        <v>1510.47</v>
      </c>
      <c r="L99">
        <v>1276.3499999999999</v>
      </c>
      <c r="M99">
        <v>234.12</v>
      </c>
    </row>
    <row r="100" spans="1:13" x14ac:dyDescent="0.3">
      <c r="A100" t="s">
        <v>114</v>
      </c>
      <c r="B100" s="1">
        <v>45587</v>
      </c>
      <c r="C100" t="s">
        <v>519</v>
      </c>
      <c r="D100" t="s">
        <v>526</v>
      </c>
      <c r="E100" t="s">
        <v>543</v>
      </c>
      <c r="F100" t="s">
        <v>573</v>
      </c>
      <c r="G100" t="s">
        <v>580</v>
      </c>
      <c r="H100">
        <v>2</v>
      </c>
      <c r="I100">
        <v>18093.87</v>
      </c>
      <c r="J100">
        <v>0</v>
      </c>
      <c r="K100">
        <v>36187.74</v>
      </c>
      <c r="L100">
        <v>24643.85</v>
      </c>
      <c r="M100">
        <v>11543.89</v>
      </c>
    </row>
    <row r="101" spans="1:13" x14ac:dyDescent="0.3">
      <c r="A101" t="s">
        <v>115</v>
      </c>
      <c r="B101" s="1">
        <v>45804</v>
      </c>
      <c r="C101" t="s">
        <v>517</v>
      </c>
      <c r="D101" t="s">
        <v>530</v>
      </c>
      <c r="E101" t="s">
        <v>549</v>
      </c>
      <c r="F101" t="s">
        <v>571</v>
      </c>
      <c r="G101" t="s">
        <v>579</v>
      </c>
      <c r="H101">
        <v>3</v>
      </c>
      <c r="I101">
        <v>6069.28</v>
      </c>
      <c r="J101">
        <v>0</v>
      </c>
      <c r="K101">
        <v>18207.84</v>
      </c>
      <c r="L101">
        <v>13036.81</v>
      </c>
      <c r="M101">
        <v>5171.03</v>
      </c>
    </row>
    <row r="102" spans="1:13" x14ac:dyDescent="0.3">
      <c r="A102" t="s">
        <v>116</v>
      </c>
      <c r="B102" s="1">
        <v>45622</v>
      </c>
      <c r="C102" t="s">
        <v>517</v>
      </c>
      <c r="D102" t="s">
        <v>531</v>
      </c>
      <c r="E102" t="s">
        <v>551</v>
      </c>
      <c r="F102" t="s">
        <v>571</v>
      </c>
      <c r="G102" t="s">
        <v>574</v>
      </c>
      <c r="H102">
        <v>1</v>
      </c>
      <c r="I102">
        <v>77067.149999999994</v>
      </c>
      <c r="J102">
        <v>0</v>
      </c>
      <c r="K102">
        <v>77067.149999999994</v>
      </c>
      <c r="L102">
        <v>71287.11</v>
      </c>
      <c r="M102">
        <v>5780.04</v>
      </c>
    </row>
    <row r="103" spans="1:13" x14ac:dyDescent="0.3">
      <c r="A103" t="s">
        <v>117</v>
      </c>
      <c r="B103" s="1">
        <v>45881</v>
      </c>
      <c r="C103" t="s">
        <v>517</v>
      </c>
      <c r="D103" t="s">
        <v>536</v>
      </c>
      <c r="E103" t="s">
        <v>560</v>
      </c>
      <c r="F103" t="s">
        <v>573</v>
      </c>
      <c r="G103" t="s">
        <v>582</v>
      </c>
      <c r="H103">
        <v>1</v>
      </c>
      <c r="I103">
        <v>19551.509999999998</v>
      </c>
      <c r="J103">
        <v>0.15</v>
      </c>
      <c r="K103">
        <v>16618.78</v>
      </c>
      <c r="L103">
        <v>11300.77</v>
      </c>
      <c r="M103">
        <v>5318.01</v>
      </c>
    </row>
    <row r="104" spans="1:13" x14ac:dyDescent="0.3">
      <c r="A104" t="s">
        <v>118</v>
      </c>
      <c r="B104" s="1">
        <v>45744</v>
      </c>
      <c r="C104" t="s">
        <v>520</v>
      </c>
      <c r="D104" t="s">
        <v>528</v>
      </c>
      <c r="E104" t="s">
        <v>552</v>
      </c>
      <c r="F104" t="s">
        <v>573</v>
      </c>
      <c r="G104" t="s">
        <v>581</v>
      </c>
      <c r="H104">
        <v>1</v>
      </c>
      <c r="I104">
        <v>24288.27</v>
      </c>
      <c r="J104">
        <v>0</v>
      </c>
      <c r="K104">
        <v>24288.27</v>
      </c>
      <c r="L104">
        <v>23000.99</v>
      </c>
      <c r="M104">
        <v>1287.28</v>
      </c>
    </row>
    <row r="105" spans="1:13" x14ac:dyDescent="0.3">
      <c r="A105" t="s">
        <v>119</v>
      </c>
      <c r="B105" s="1">
        <v>45710</v>
      </c>
      <c r="C105" t="s">
        <v>520</v>
      </c>
      <c r="D105" t="s">
        <v>535</v>
      </c>
      <c r="E105" t="s">
        <v>565</v>
      </c>
      <c r="F105" t="s">
        <v>571</v>
      </c>
      <c r="G105" t="s">
        <v>578</v>
      </c>
      <c r="H105">
        <v>1</v>
      </c>
      <c r="I105">
        <v>34696.67</v>
      </c>
      <c r="J105">
        <v>0</v>
      </c>
      <c r="K105">
        <v>34696.67</v>
      </c>
      <c r="L105">
        <v>26057.200000000001</v>
      </c>
      <c r="M105">
        <v>8639.4699999999993</v>
      </c>
    </row>
    <row r="106" spans="1:13" x14ac:dyDescent="0.3">
      <c r="A106" t="s">
        <v>120</v>
      </c>
      <c r="B106" s="1">
        <v>45702</v>
      </c>
      <c r="C106" t="s">
        <v>517</v>
      </c>
      <c r="D106" t="s">
        <v>536</v>
      </c>
      <c r="E106" t="s">
        <v>560</v>
      </c>
      <c r="F106" t="s">
        <v>571</v>
      </c>
      <c r="G106" t="s">
        <v>578</v>
      </c>
      <c r="H106">
        <v>1</v>
      </c>
      <c r="I106">
        <v>22434.71</v>
      </c>
      <c r="J106">
        <v>0.1</v>
      </c>
      <c r="K106">
        <v>20191.240000000002</v>
      </c>
      <c r="L106">
        <v>18212.5</v>
      </c>
      <c r="M106">
        <v>1978.74</v>
      </c>
    </row>
    <row r="107" spans="1:13" x14ac:dyDescent="0.3">
      <c r="A107" t="s">
        <v>121</v>
      </c>
      <c r="B107" s="1">
        <v>45818</v>
      </c>
      <c r="C107" t="s">
        <v>516</v>
      </c>
      <c r="D107" t="s">
        <v>522</v>
      </c>
      <c r="E107" t="s">
        <v>545</v>
      </c>
      <c r="F107" t="s">
        <v>571</v>
      </c>
      <c r="G107" t="s">
        <v>574</v>
      </c>
      <c r="H107">
        <v>1</v>
      </c>
      <c r="I107">
        <v>42919.83</v>
      </c>
      <c r="J107">
        <v>0</v>
      </c>
      <c r="K107">
        <v>42919.83</v>
      </c>
      <c r="L107">
        <v>31846.51</v>
      </c>
      <c r="M107">
        <v>11073.32</v>
      </c>
    </row>
    <row r="108" spans="1:13" x14ac:dyDescent="0.3">
      <c r="A108" t="s">
        <v>122</v>
      </c>
      <c r="B108" s="1">
        <v>45802</v>
      </c>
      <c r="C108" t="s">
        <v>519</v>
      </c>
      <c r="D108" t="s">
        <v>526</v>
      </c>
      <c r="E108" t="s">
        <v>562</v>
      </c>
      <c r="F108" t="s">
        <v>572</v>
      </c>
      <c r="G108" t="s">
        <v>587</v>
      </c>
      <c r="H108">
        <v>2</v>
      </c>
      <c r="I108">
        <v>305.48</v>
      </c>
      <c r="J108">
        <v>0</v>
      </c>
      <c r="K108">
        <v>610.96</v>
      </c>
      <c r="L108">
        <v>539.48</v>
      </c>
      <c r="M108">
        <v>71.48</v>
      </c>
    </row>
    <row r="109" spans="1:13" x14ac:dyDescent="0.3">
      <c r="A109" t="s">
        <v>123</v>
      </c>
      <c r="B109" s="1">
        <v>45788</v>
      </c>
      <c r="C109" t="s">
        <v>516</v>
      </c>
      <c r="D109" t="s">
        <v>525</v>
      </c>
      <c r="E109" t="s">
        <v>557</v>
      </c>
      <c r="F109" t="s">
        <v>573</v>
      </c>
      <c r="G109" t="s">
        <v>585</v>
      </c>
      <c r="H109">
        <v>2</v>
      </c>
      <c r="I109">
        <v>9147.25</v>
      </c>
      <c r="J109">
        <v>0.1</v>
      </c>
      <c r="K109">
        <v>16465.05</v>
      </c>
      <c r="L109">
        <v>14472.78</v>
      </c>
      <c r="M109">
        <v>1992.27</v>
      </c>
    </row>
    <row r="110" spans="1:13" x14ac:dyDescent="0.3">
      <c r="A110" t="s">
        <v>124</v>
      </c>
      <c r="B110" s="1">
        <v>45387</v>
      </c>
      <c r="C110" t="s">
        <v>518</v>
      </c>
      <c r="D110" t="s">
        <v>537</v>
      </c>
      <c r="E110" t="s">
        <v>569</v>
      </c>
      <c r="F110" t="s">
        <v>571</v>
      </c>
      <c r="G110" t="s">
        <v>574</v>
      </c>
      <c r="H110">
        <v>1</v>
      </c>
      <c r="I110">
        <v>41374.910000000003</v>
      </c>
      <c r="J110">
        <v>0</v>
      </c>
      <c r="K110">
        <v>41374.910000000003</v>
      </c>
      <c r="L110">
        <v>30038.18</v>
      </c>
      <c r="M110">
        <v>11336.73</v>
      </c>
    </row>
    <row r="111" spans="1:13" x14ac:dyDescent="0.3">
      <c r="A111" t="s">
        <v>125</v>
      </c>
      <c r="B111" s="1">
        <v>45813</v>
      </c>
      <c r="C111" t="s">
        <v>520</v>
      </c>
      <c r="D111" t="s">
        <v>535</v>
      </c>
      <c r="E111" t="s">
        <v>559</v>
      </c>
      <c r="F111" t="s">
        <v>572</v>
      </c>
      <c r="G111" t="s">
        <v>583</v>
      </c>
      <c r="H111">
        <v>1</v>
      </c>
      <c r="I111">
        <v>940.73</v>
      </c>
      <c r="J111">
        <v>0.05</v>
      </c>
      <c r="K111">
        <v>893.69</v>
      </c>
      <c r="L111">
        <v>621.11</v>
      </c>
      <c r="M111">
        <v>272.58</v>
      </c>
    </row>
    <row r="112" spans="1:13" x14ac:dyDescent="0.3">
      <c r="A112" t="s">
        <v>126</v>
      </c>
      <c r="B112" s="1">
        <v>45812</v>
      </c>
      <c r="C112" t="s">
        <v>518</v>
      </c>
      <c r="D112" t="s">
        <v>537</v>
      </c>
      <c r="E112" t="s">
        <v>569</v>
      </c>
      <c r="F112" t="s">
        <v>572</v>
      </c>
      <c r="G112" t="s">
        <v>577</v>
      </c>
      <c r="H112">
        <v>2</v>
      </c>
      <c r="I112">
        <v>1871.78</v>
      </c>
      <c r="J112">
        <v>0</v>
      </c>
      <c r="K112">
        <v>3743.56</v>
      </c>
      <c r="L112">
        <v>2919.98</v>
      </c>
      <c r="M112">
        <v>823.58</v>
      </c>
    </row>
    <row r="113" spans="1:13" x14ac:dyDescent="0.3">
      <c r="A113" t="s">
        <v>127</v>
      </c>
      <c r="B113" s="1">
        <v>45294</v>
      </c>
      <c r="C113" t="s">
        <v>520</v>
      </c>
      <c r="D113" t="s">
        <v>535</v>
      </c>
      <c r="E113" t="s">
        <v>559</v>
      </c>
      <c r="F113" t="s">
        <v>571</v>
      </c>
      <c r="G113" t="s">
        <v>576</v>
      </c>
      <c r="H113">
        <v>1</v>
      </c>
      <c r="I113">
        <v>44470.7</v>
      </c>
      <c r="J113">
        <v>0</v>
      </c>
      <c r="K113">
        <v>44470.7</v>
      </c>
      <c r="L113">
        <v>37355.39</v>
      </c>
      <c r="M113">
        <v>7115.31</v>
      </c>
    </row>
    <row r="114" spans="1:13" x14ac:dyDescent="0.3">
      <c r="A114" t="s">
        <v>128</v>
      </c>
      <c r="B114" s="1">
        <v>45857</v>
      </c>
      <c r="C114" t="s">
        <v>517</v>
      </c>
      <c r="D114" t="s">
        <v>530</v>
      </c>
      <c r="E114" t="s">
        <v>549</v>
      </c>
      <c r="F114" t="s">
        <v>572</v>
      </c>
      <c r="G114" t="s">
        <v>583</v>
      </c>
      <c r="H114">
        <v>1</v>
      </c>
      <c r="I114">
        <v>1962.51</v>
      </c>
      <c r="J114">
        <v>0</v>
      </c>
      <c r="K114">
        <v>1962.51</v>
      </c>
      <c r="L114">
        <v>1721.12</v>
      </c>
      <c r="M114">
        <v>241.39</v>
      </c>
    </row>
    <row r="115" spans="1:13" x14ac:dyDescent="0.3">
      <c r="A115" t="s">
        <v>129</v>
      </c>
      <c r="B115" s="1">
        <v>45684</v>
      </c>
      <c r="C115" t="s">
        <v>518</v>
      </c>
      <c r="D115" t="s">
        <v>529</v>
      </c>
      <c r="E115" t="s">
        <v>548</v>
      </c>
      <c r="F115" t="s">
        <v>572</v>
      </c>
      <c r="G115" t="s">
        <v>586</v>
      </c>
      <c r="H115">
        <v>5</v>
      </c>
      <c r="I115">
        <v>1425.19</v>
      </c>
      <c r="J115">
        <v>0</v>
      </c>
      <c r="K115">
        <v>7125.95</v>
      </c>
      <c r="L115">
        <v>5928.79</v>
      </c>
      <c r="M115">
        <v>1197.1600000000001</v>
      </c>
    </row>
    <row r="116" spans="1:13" x14ac:dyDescent="0.3">
      <c r="A116" t="s">
        <v>130</v>
      </c>
      <c r="B116" s="1">
        <v>45687</v>
      </c>
      <c r="C116" t="s">
        <v>518</v>
      </c>
      <c r="D116" t="s">
        <v>529</v>
      </c>
      <c r="E116" t="s">
        <v>548</v>
      </c>
      <c r="F116" t="s">
        <v>571</v>
      </c>
      <c r="G116" t="s">
        <v>579</v>
      </c>
      <c r="H116">
        <v>3</v>
      </c>
      <c r="I116">
        <v>77332.23</v>
      </c>
      <c r="J116">
        <v>0</v>
      </c>
      <c r="K116">
        <v>231996.69</v>
      </c>
      <c r="L116">
        <v>176549.48</v>
      </c>
      <c r="M116">
        <v>55447.21</v>
      </c>
    </row>
    <row r="117" spans="1:13" x14ac:dyDescent="0.3">
      <c r="A117" t="s">
        <v>131</v>
      </c>
      <c r="B117" s="1">
        <v>45394</v>
      </c>
      <c r="C117" t="s">
        <v>519</v>
      </c>
      <c r="D117" t="s">
        <v>526</v>
      </c>
      <c r="E117" t="s">
        <v>543</v>
      </c>
      <c r="F117" t="s">
        <v>571</v>
      </c>
      <c r="G117" t="s">
        <v>574</v>
      </c>
      <c r="H117">
        <v>2</v>
      </c>
      <c r="I117">
        <v>34568.35</v>
      </c>
      <c r="J117">
        <v>0</v>
      </c>
      <c r="K117">
        <v>69136.7</v>
      </c>
      <c r="L117">
        <v>55240.22</v>
      </c>
      <c r="M117">
        <v>13896.48</v>
      </c>
    </row>
    <row r="118" spans="1:13" x14ac:dyDescent="0.3">
      <c r="A118" t="s">
        <v>132</v>
      </c>
      <c r="B118" s="1">
        <v>45450</v>
      </c>
      <c r="C118" t="s">
        <v>516</v>
      </c>
      <c r="D118" t="s">
        <v>522</v>
      </c>
      <c r="E118" t="s">
        <v>545</v>
      </c>
      <c r="F118" t="s">
        <v>572</v>
      </c>
      <c r="G118" t="s">
        <v>587</v>
      </c>
      <c r="H118">
        <v>1</v>
      </c>
      <c r="I118">
        <v>1400.77</v>
      </c>
      <c r="J118">
        <v>0</v>
      </c>
      <c r="K118">
        <v>1400.77</v>
      </c>
      <c r="L118">
        <v>1123.42</v>
      </c>
      <c r="M118">
        <v>277.35000000000002</v>
      </c>
    </row>
    <row r="119" spans="1:13" x14ac:dyDescent="0.3">
      <c r="A119" t="s">
        <v>133</v>
      </c>
      <c r="B119" s="1">
        <v>45628</v>
      </c>
      <c r="C119" t="s">
        <v>517</v>
      </c>
      <c r="D119" t="s">
        <v>530</v>
      </c>
      <c r="E119" t="s">
        <v>549</v>
      </c>
      <c r="F119" t="s">
        <v>573</v>
      </c>
      <c r="G119" t="s">
        <v>581</v>
      </c>
      <c r="H119">
        <v>1</v>
      </c>
      <c r="I119">
        <v>22064.81</v>
      </c>
      <c r="J119">
        <v>0.05</v>
      </c>
      <c r="K119">
        <v>20961.57</v>
      </c>
      <c r="L119">
        <v>15364.83</v>
      </c>
      <c r="M119">
        <v>5596.74</v>
      </c>
    </row>
    <row r="120" spans="1:13" x14ac:dyDescent="0.3">
      <c r="A120" t="s">
        <v>134</v>
      </c>
      <c r="B120" s="1">
        <v>45532</v>
      </c>
      <c r="C120" t="s">
        <v>520</v>
      </c>
      <c r="D120" t="s">
        <v>528</v>
      </c>
      <c r="E120" t="s">
        <v>547</v>
      </c>
      <c r="F120" t="s">
        <v>572</v>
      </c>
      <c r="G120" t="s">
        <v>588</v>
      </c>
      <c r="H120">
        <v>1</v>
      </c>
      <c r="I120">
        <v>1532.72</v>
      </c>
      <c r="J120">
        <v>0</v>
      </c>
      <c r="K120">
        <v>1532.72</v>
      </c>
      <c r="L120">
        <v>1445.35</v>
      </c>
      <c r="M120">
        <v>87.37</v>
      </c>
    </row>
    <row r="121" spans="1:13" x14ac:dyDescent="0.3">
      <c r="A121" t="s">
        <v>135</v>
      </c>
      <c r="B121" s="1">
        <v>45394</v>
      </c>
      <c r="C121" t="s">
        <v>519</v>
      </c>
      <c r="D121" t="s">
        <v>533</v>
      </c>
      <c r="E121" t="s">
        <v>555</v>
      </c>
      <c r="F121" t="s">
        <v>571</v>
      </c>
      <c r="G121" t="s">
        <v>575</v>
      </c>
      <c r="H121">
        <v>1</v>
      </c>
      <c r="I121">
        <v>27976.85</v>
      </c>
      <c r="J121">
        <v>0.1</v>
      </c>
      <c r="K121">
        <v>25179.17</v>
      </c>
      <c r="L121">
        <v>22585.72</v>
      </c>
      <c r="M121">
        <v>2593.4499999999998</v>
      </c>
    </row>
    <row r="122" spans="1:13" x14ac:dyDescent="0.3">
      <c r="A122" t="s">
        <v>136</v>
      </c>
      <c r="B122" s="1">
        <v>45675</v>
      </c>
      <c r="C122" t="s">
        <v>519</v>
      </c>
      <c r="D122" t="s">
        <v>533</v>
      </c>
      <c r="E122" t="s">
        <v>570</v>
      </c>
      <c r="F122" t="s">
        <v>573</v>
      </c>
      <c r="G122" t="s">
        <v>581</v>
      </c>
      <c r="H122">
        <v>4</v>
      </c>
      <c r="I122">
        <v>15016.35</v>
      </c>
      <c r="J122">
        <v>0</v>
      </c>
      <c r="K122">
        <v>60065.4</v>
      </c>
      <c r="L122">
        <v>39883.43</v>
      </c>
      <c r="M122">
        <v>20181.97</v>
      </c>
    </row>
    <row r="123" spans="1:13" x14ac:dyDescent="0.3">
      <c r="A123" t="s">
        <v>137</v>
      </c>
      <c r="B123" s="1">
        <v>45466</v>
      </c>
      <c r="C123" t="s">
        <v>518</v>
      </c>
      <c r="D123" t="s">
        <v>537</v>
      </c>
      <c r="E123" t="s">
        <v>569</v>
      </c>
      <c r="F123" t="s">
        <v>573</v>
      </c>
      <c r="G123" t="s">
        <v>585</v>
      </c>
      <c r="H123">
        <v>3</v>
      </c>
      <c r="I123">
        <v>13446.35</v>
      </c>
      <c r="J123">
        <v>0</v>
      </c>
      <c r="K123">
        <v>40339.050000000003</v>
      </c>
      <c r="L123">
        <v>33844.46</v>
      </c>
      <c r="M123">
        <v>6494.59</v>
      </c>
    </row>
    <row r="124" spans="1:13" x14ac:dyDescent="0.3">
      <c r="A124" t="s">
        <v>138</v>
      </c>
      <c r="B124" s="1">
        <v>45529</v>
      </c>
      <c r="C124" t="s">
        <v>519</v>
      </c>
      <c r="D124" t="s">
        <v>532</v>
      </c>
      <c r="E124" t="s">
        <v>554</v>
      </c>
      <c r="F124" t="s">
        <v>572</v>
      </c>
      <c r="G124" t="s">
        <v>588</v>
      </c>
      <c r="H124">
        <v>1</v>
      </c>
      <c r="I124">
        <v>1802.87</v>
      </c>
      <c r="J124">
        <v>0</v>
      </c>
      <c r="K124">
        <v>1802.87</v>
      </c>
      <c r="L124">
        <v>1211.53</v>
      </c>
      <c r="M124">
        <v>591.34</v>
      </c>
    </row>
    <row r="125" spans="1:13" x14ac:dyDescent="0.3">
      <c r="A125" t="s">
        <v>139</v>
      </c>
      <c r="B125" s="1">
        <v>45586</v>
      </c>
      <c r="C125" t="s">
        <v>517</v>
      </c>
      <c r="D125" t="s">
        <v>523</v>
      </c>
      <c r="E125" t="s">
        <v>544</v>
      </c>
      <c r="F125" t="s">
        <v>572</v>
      </c>
      <c r="G125" t="s">
        <v>577</v>
      </c>
      <c r="H125">
        <v>1</v>
      </c>
      <c r="I125">
        <v>1975.92</v>
      </c>
      <c r="J125">
        <v>0</v>
      </c>
      <c r="K125">
        <v>1975.92</v>
      </c>
      <c r="L125">
        <v>1304.1099999999999</v>
      </c>
      <c r="M125">
        <v>671.81</v>
      </c>
    </row>
    <row r="126" spans="1:13" x14ac:dyDescent="0.3">
      <c r="A126" t="s">
        <v>140</v>
      </c>
      <c r="B126" s="1">
        <v>45726</v>
      </c>
      <c r="C126" t="s">
        <v>520</v>
      </c>
      <c r="D126" t="s">
        <v>535</v>
      </c>
      <c r="E126" t="s">
        <v>559</v>
      </c>
      <c r="F126" t="s">
        <v>571</v>
      </c>
      <c r="G126" t="s">
        <v>576</v>
      </c>
      <c r="H126">
        <v>4</v>
      </c>
      <c r="I126">
        <v>68706.83</v>
      </c>
      <c r="J126">
        <v>0.1</v>
      </c>
      <c r="K126">
        <v>247344.59</v>
      </c>
      <c r="L126">
        <v>171657.15</v>
      </c>
      <c r="M126">
        <v>75687.44</v>
      </c>
    </row>
    <row r="127" spans="1:13" x14ac:dyDescent="0.3">
      <c r="A127" t="s">
        <v>141</v>
      </c>
      <c r="B127" s="1">
        <v>45877</v>
      </c>
      <c r="C127" t="s">
        <v>520</v>
      </c>
      <c r="D127" t="s">
        <v>535</v>
      </c>
      <c r="E127" t="s">
        <v>559</v>
      </c>
      <c r="F127" t="s">
        <v>571</v>
      </c>
      <c r="G127" t="s">
        <v>576</v>
      </c>
      <c r="H127">
        <v>1</v>
      </c>
      <c r="I127">
        <v>24134.99</v>
      </c>
      <c r="J127">
        <v>0</v>
      </c>
      <c r="K127">
        <v>24134.99</v>
      </c>
      <c r="L127">
        <v>20128.580000000002</v>
      </c>
      <c r="M127">
        <v>4006.41</v>
      </c>
    </row>
    <row r="128" spans="1:13" x14ac:dyDescent="0.3">
      <c r="A128" t="s">
        <v>142</v>
      </c>
      <c r="B128" s="1">
        <v>45342</v>
      </c>
      <c r="C128" t="s">
        <v>517</v>
      </c>
      <c r="D128" t="s">
        <v>530</v>
      </c>
      <c r="E128" t="s">
        <v>549</v>
      </c>
      <c r="F128" t="s">
        <v>571</v>
      </c>
      <c r="G128" t="s">
        <v>579</v>
      </c>
      <c r="H128">
        <v>3</v>
      </c>
      <c r="I128">
        <v>64748.76</v>
      </c>
      <c r="J128">
        <v>0</v>
      </c>
      <c r="K128">
        <v>194246.28</v>
      </c>
      <c r="L128">
        <v>166080.57</v>
      </c>
      <c r="M128">
        <v>28165.71</v>
      </c>
    </row>
    <row r="129" spans="1:13" x14ac:dyDescent="0.3">
      <c r="A129" t="s">
        <v>143</v>
      </c>
      <c r="B129" s="1">
        <v>45486</v>
      </c>
      <c r="C129" t="s">
        <v>517</v>
      </c>
      <c r="D129" t="s">
        <v>531</v>
      </c>
      <c r="E129" t="s">
        <v>551</v>
      </c>
      <c r="F129" t="s">
        <v>573</v>
      </c>
      <c r="G129" t="s">
        <v>582</v>
      </c>
      <c r="H129">
        <v>1</v>
      </c>
      <c r="I129">
        <v>22778.29</v>
      </c>
      <c r="J129">
        <v>0</v>
      </c>
      <c r="K129">
        <v>22778.29</v>
      </c>
      <c r="L129">
        <v>17835.400000000001</v>
      </c>
      <c r="M129">
        <v>4942.8900000000003</v>
      </c>
    </row>
    <row r="130" spans="1:13" x14ac:dyDescent="0.3">
      <c r="A130" t="s">
        <v>144</v>
      </c>
      <c r="B130" s="1">
        <v>45608</v>
      </c>
      <c r="C130" t="s">
        <v>519</v>
      </c>
      <c r="D130" t="s">
        <v>526</v>
      </c>
      <c r="E130" t="s">
        <v>543</v>
      </c>
      <c r="F130" t="s">
        <v>573</v>
      </c>
      <c r="G130" t="s">
        <v>585</v>
      </c>
      <c r="H130">
        <v>4</v>
      </c>
      <c r="I130">
        <v>4073.07</v>
      </c>
      <c r="J130">
        <v>0</v>
      </c>
      <c r="K130">
        <v>16292.28</v>
      </c>
      <c r="L130">
        <v>12072.58</v>
      </c>
      <c r="M130">
        <v>4219.7</v>
      </c>
    </row>
    <row r="131" spans="1:13" x14ac:dyDescent="0.3">
      <c r="A131" t="s">
        <v>145</v>
      </c>
      <c r="B131" s="1">
        <v>45717</v>
      </c>
      <c r="C131" t="s">
        <v>518</v>
      </c>
      <c r="D131" t="s">
        <v>537</v>
      </c>
      <c r="E131" t="s">
        <v>561</v>
      </c>
      <c r="F131" t="s">
        <v>573</v>
      </c>
      <c r="G131" t="s">
        <v>580</v>
      </c>
      <c r="H131">
        <v>1</v>
      </c>
      <c r="I131">
        <v>14209.6</v>
      </c>
      <c r="J131">
        <v>0</v>
      </c>
      <c r="K131">
        <v>14209.6</v>
      </c>
      <c r="L131">
        <v>13087.04</v>
      </c>
      <c r="M131">
        <v>1122.56</v>
      </c>
    </row>
    <row r="132" spans="1:13" x14ac:dyDescent="0.3">
      <c r="A132" t="s">
        <v>146</v>
      </c>
      <c r="B132" s="1">
        <v>45460</v>
      </c>
      <c r="C132" t="s">
        <v>520</v>
      </c>
      <c r="D132" t="s">
        <v>535</v>
      </c>
      <c r="E132" t="s">
        <v>559</v>
      </c>
      <c r="F132" t="s">
        <v>573</v>
      </c>
      <c r="G132" t="s">
        <v>580</v>
      </c>
      <c r="H132">
        <v>1</v>
      </c>
      <c r="I132">
        <v>20497.349999999999</v>
      </c>
      <c r="J132">
        <v>0</v>
      </c>
      <c r="K132">
        <v>20497.349999999999</v>
      </c>
      <c r="L132">
        <v>13384.77</v>
      </c>
      <c r="M132">
        <v>7112.58</v>
      </c>
    </row>
    <row r="133" spans="1:13" x14ac:dyDescent="0.3">
      <c r="A133" t="s">
        <v>147</v>
      </c>
      <c r="B133" s="1">
        <v>45369</v>
      </c>
      <c r="C133" t="s">
        <v>518</v>
      </c>
      <c r="D133" t="s">
        <v>537</v>
      </c>
      <c r="E133" t="s">
        <v>569</v>
      </c>
      <c r="F133" t="s">
        <v>573</v>
      </c>
      <c r="G133" t="s">
        <v>580</v>
      </c>
      <c r="H133">
        <v>1</v>
      </c>
      <c r="I133">
        <v>4076.97</v>
      </c>
      <c r="J133">
        <v>0</v>
      </c>
      <c r="K133">
        <v>4076.97</v>
      </c>
      <c r="L133">
        <v>3241.19</v>
      </c>
      <c r="M133">
        <v>835.78</v>
      </c>
    </row>
    <row r="134" spans="1:13" x14ac:dyDescent="0.3">
      <c r="A134" t="s">
        <v>148</v>
      </c>
      <c r="B134" s="1">
        <v>45562</v>
      </c>
      <c r="C134" t="s">
        <v>517</v>
      </c>
      <c r="D134" t="s">
        <v>536</v>
      </c>
      <c r="E134" t="s">
        <v>560</v>
      </c>
      <c r="F134" t="s">
        <v>572</v>
      </c>
      <c r="G134" t="s">
        <v>577</v>
      </c>
      <c r="H134">
        <v>3</v>
      </c>
      <c r="I134">
        <v>1189.8900000000001</v>
      </c>
      <c r="J134">
        <v>0</v>
      </c>
      <c r="K134">
        <v>3569.67</v>
      </c>
      <c r="L134">
        <v>2598.7199999999998</v>
      </c>
      <c r="M134">
        <v>970.95</v>
      </c>
    </row>
    <row r="135" spans="1:13" x14ac:dyDescent="0.3">
      <c r="A135" t="s">
        <v>149</v>
      </c>
      <c r="B135" s="1">
        <v>45672</v>
      </c>
      <c r="C135" t="s">
        <v>516</v>
      </c>
      <c r="D135" t="s">
        <v>527</v>
      </c>
      <c r="E135" t="s">
        <v>558</v>
      </c>
      <c r="F135" t="s">
        <v>571</v>
      </c>
      <c r="G135" t="s">
        <v>579</v>
      </c>
      <c r="H135">
        <v>2</v>
      </c>
      <c r="I135">
        <v>71086.080000000002</v>
      </c>
      <c r="J135">
        <v>0</v>
      </c>
      <c r="K135">
        <v>142172.16</v>
      </c>
      <c r="L135">
        <v>105065.23</v>
      </c>
      <c r="M135">
        <v>37106.93</v>
      </c>
    </row>
    <row r="136" spans="1:13" x14ac:dyDescent="0.3">
      <c r="A136" t="s">
        <v>150</v>
      </c>
      <c r="B136" s="1">
        <v>45518</v>
      </c>
      <c r="C136" t="s">
        <v>516</v>
      </c>
      <c r="D136" t="s">
        <v>522</v>
      </c>
      <c r="E136" t="s">
        <v>545</v>
      </c>
      <c r="F136" t="s">
        <v>573</v>
      </c>
      <c r="G136" t="s">
        <v>581</v>
      </c>
      <c r="H136">
        <v>1</v>
      </c>
      <c r="I136">
        <v>4683.55</v>
      </c>
      <c r="J136">
        <v>0.05</v>
      </c>
      <c r="K136">
        <v>4449.37</v>
      </c>
      <c r="L136">
        <v>3835.36</v>
      </c>
      <c r="M136">
        <v>614.01</v>
      </c>
    </row>
    <row r="137" spans="1:13" x14ac:dyDescent="0.3">
      <c r="A137" t="s">
        <v>151</v>
      </c>
      <c r="B137" s="1">
        <v>45603</v>
      </c>
      <c r="C137" t="s">
        <v>519</v>
      </c>
      <c r="D137" t="s">
        <v>526</v>
      </c>
      <c r="E137" t="s">
        <v>562</v>
      </c>
      <c r="F137" t="s">
        <v>571</v>
      </c>
      <c r="G137" t="s">
        <v>579</v>
      </c>
      <c r="H137">
        <v>2</v>
      </c>
      <c r="I137">
        <v>13446.13</v>
      </c>
      <c r="J137">
        <v>0</v>
      </c>
      <c r="K137">
        <v>26892.26</v>
      </c>
      <c r="L137">
        <v>19012.830000000002</v>
      </c>
      <c r="M137">
        <v>7879.43</v>
      </c>
    </row>
    <row r="138" spans="1:13" x14ac:dyDescent="0.3">
      <c r="A138" t="s">
        <v>152</v>
      </c>
      <c r="B138" s="1">
        <v>45845</v>
      </c>
      <c r="C138" t="s">
        <v>519</v>
      </c>
      <c r="D138" t="s">
        <v>533</v>
      </c>
      <c r="E138" t="s">
        <v>555</v>
      </c>
      <c r="F138" t="s">
        <v>573</v>
      </c>
      <c r="G138" t="s">
        <v>582</v>
      </c>
      <c r="H138">
        <v>3</v>
      </c>
      <c r="I138">
        <v>21174.94</v>
      </c>
      <c r="J138">
        <v>0</v>
      </c>
      <c r="K138">
        <v>63524.82</v>
      </c>
      <c r="L138">
        <v>42942.78</v>
      </c>
      <c r="M138">
        <v>20582.04</v>
      </c>
    </row>
    <row r="139" spans="1:13" x14ac:dyDescent="0.3">
      <c r="A139" t="s">
        <v>153</v>
      </c>
      <c r="B139" s="1">
        <v>45578</v>
      </c>
      <c r="C139" t="s">
        <v>516</v>
      </c>
      <c r="D139" t="s">
        <v>521</v>
      </c>
      <c r="E139" t="s">
        <v>538</v>
      </c>
      <c r="F139" t="s">
        <v>572</v>
      </c>
      <c r="G139" t="s">
        <v>586</v>
      </c>
      <c r="H139">
        <v>1</v>
      </c>
      <c r="I139">
        <v>1903.58</v>
      </c>
      <c r="J139">
        <v>0</v>
      </c>
      <c r="K139">
        <v>1903.58</v>
      </c>
      <c r="L139">
        <v>1522.86</v>
      </c>
      <c r="M139">
        <v>380.72</v>
      </c>
    </row>
    <row r="140" spans="1:13" x14ac:dyDescent="0.3">
      <c r="A140" t="s">
        <v>154</v>
      </c>
      <c r="B140" s="1">
        <v>45393</v>
      </c>
      <c r="C140" t="s">
        <v>520</v>
      </c>
      <c r="D140" t="s">
        <v>535</v>
      </c>
      <c r="E140" t="s">
        <v>565</v>
      </c>
      <c r="F140" t="s">
        <v>572</v>
      </c>
      <c r="G140" t="s">
        <v>577</v>
      </c>
      <c r="H140">
        <v>2</v>
      </c>
      <c r="I140">
        <v>420.13</v>
      </c>
      <c r="J140">
        <v>0.1</v>
      </c>
      <c r="K140">
        <v>756.23</v>
      </c>
      <c r="L140">
        <v>570.95000000000005</v>
      </c>
      <c r="M140">
        <v>185.28</v>
      </c>
    </row>
    <row r="141" spans="1:13" x14ac:dyDescent="0.3">
      <c r="A141" t="s">
        <v>155</v>
      </c>
      <c r="B141" s="1">
        <v>45385</v>
      </c>
      <c r="C141" t="s">
        <v>518</v>
      </c>
      <c r="D141" t="s">
        <v>524</v>
      </c>
      <c r="E141" t="s">
        <v>550</v>
      </c>
      <c r="F141" t="s">
        <v>571</v>
      </c>
      <c r="G141" t="s">
        <v>578</v>
      </c>
      <c r="H141">
        <v>2</v>
      </c>
      <c r="I141">
        <v>21754.81</v>
      </c>
      <c r="J141">
        <v>0.15</v>
      </c>
      <c r="K141">
        <v>36983.18</v>
      </c>
      <c r="L141">
        <v>26295.040000000001</v>
      </c>
      <c r="M141">
        <v>10688.14</v>
      </c>
    </row>
    <row r="142" spans="1:13" x14ac:dyDescent="0.3">
      <c r="A142" t="s">
        <v>156</v>
      </c>
      <c r="B142" s="1">
        <v>45502</v>
      </c>
      <c r="C142" t="s">
        <v>516</v>
      </c>
      <c r="D142" t="s">
        <v>527</v>
      </c>
      <c r="E142" t="s">
        <v>546</v>
      </c>
      <c r="F142" t="s">
        <v>571</v>
      </c>
      <c r="G142" t="s">
        <v>578</v>
      </c>
      <c r="H142">
        <v>3</v>
      </c>
      <c r="I142">
        <v>62626.38</v>
      </c>
      <c r="J142">
        <v>0</v>
      </c>
      <c r="K142">
        <v>187879.14</v>
      </c>
      <c r="L142">
        <v>159509.39000000001</v>
      </c>
      <c r="M142">
        <v>28369.75</v>
      </c>
    </row>
    <row r="143" spans="1:13" x14ac:dyDescent="0.3">
      <c r="A143" t="s">
        <v>157</v>
      </c>
      <c r="B143" s="1">
        <v>45294</v>
      </c>
      <c r="C143" t="s">
        <v>520</v>
      </c>
      <c r="D143" t="s">
        <v>528</v>
      </c>
      <c r="E143" t="s">
        <v>547</v>
      </c>
      <c r="F143" t="s">
        <v>573</v>
      </c>
      <c r="G143" t="s">
        <v>580</v>
      </c>
      <c r="H143">
        <v>1</v>
      </c>
      <c r="I143">
        <v>20365.82</v>
      </c>
      <c r="J143">
        <v>0.05</v>
      </c>
      <c r="K143">
        <v>19347.53</v>
      </c>
      <c r="L143">
        <v>17838.419999999998</v>
      </c>
      <c r="M143">
        <v>1509.11</v>
      </c>
    </row>
    <row r="144" spans="1:13" x14ac:dyDescent="0.3">
      <c r="A144" t="s">
        <v>158</v>
      </c>
      <c r="B144" s="1">
        <v>45426</v>
      </c>
      <c r="C144" t="s">
        <v>516</v>
      </c>
      <c r="D144" t="s">
        <v>521</v>
      </c>
      <c r="E144" t="s">
        <v>538</v>
      </c>
      <c r="F144" t="s">
        <v>573</v>
      </c>
      <c r="G144" t="s">
        <v>580</v>
      </c>
      <c r="H144">
        <v>1</v>
      </c>
      <c r="I144">
        <v>2362.96</v>
      </c>
      <c r="J144">
        <v>0</v>
      </c>
      <c r="K144">
        <v>2362.96</v>
      </c>
      <c r="L144">
        <v>2218.8200000000002</v>
      </c>
      <c r="M144">
        <v>144.13999999999999</v>
      </c>
    </row>
    <row r="145" spans="1:13" x14ac:dyDescent="0.3">
      <c r="A145" t="s">
        <v>159</v>
      </c>
      <c r="B145" s="1">
        <v>45421</v>
      </c>
      <c r="C145" t="s">
        <v>519</v>
      </c>
      <c r="D145" t="s">
        <v>526</v>
      </c>
      <c r="E145" t="s">
        <v>562</v>
      </c>
      <c r="F145" t="s">
        <v>572</v>
      </c>
      <c r="G145" t="s">
        <v>586</v>
      </c>
      <c r="H145">
        <v>1</v>
      </c>
      <c r="I145">
        <v>1567.13</v>
      </c>
      <c r="J145">
        <v>0</v>
      </c>
      <c r="K145">
        <v>1567.13</v>
      </c>
      <c r="L145">
        <v>1233.33</v>
      </c>
      <c r="M145">
        <v>333.8</v>
      </c>
    </row>
    <row r="146" spans="1:13" x14ac:dyDescent="0.3">
      <c r="A146" t="s">
        <v>160</v>
      </c>
      <c r="B146" s="1">
        <v>45403</v>
      </c>
      <c r="C146" t="s">
        <v>519</v>
      </c>
      <c r="D146" t="s">
        <v>533</v>
      </c>
      <c r="E146" t="s">
        <v>570</v>
      </c>
      <c r="F146" t="s">
        <v>573</v>
      </c>
      <c r="G146" t="s">
        <v>584</v>
      </c>
      <c r="H146">
        <v>1</v>
      </c>
      <c r="I146">
        <v>8937.5</v>
      </c>
      <c r="J146">
        <v>0</v>
      </c>
      <c r="K146">
        <v>8937.5</v>
      </c>
      <c r="L146">
        <v>6908.69</v>
      </c>
      <c r="M146">
        <v>2028.81</v>
      </c>
    </row>
    <row r="147" spans="1:13" x14ac:dyDescent="0.3">
      <c r="A147" t="s">
        <v>161</v>
      </c>
      <c r="B147" s="1">
        <v>45323</v>
      </c>
      <c r="C147" t="s">
        <v>516</v>
      </c>
      <c r="D147" t="s">
        <v>522</v>
      </c>
      <c r="E147" t="s">
        <v>545</v>
      </c>
      <c r="F147" t="s">
        <v>572</v>
      </c>
      <c r="G147" t="s">
        <v>588</v>
      </c>
      <c r="H147">
        <v>1</v>
      </c>
      <c r="I147">
        <v>1006.02</v>
      </c>
      <c r="J147">
        <v>0</v>
      </c>
      <c r="K147">
        <v>1006.02</v>
      </c>
      <c r="L147">
        <v>944.65</v>
      </c>
      <c r="M147">
        <v>61.37</v>
      </c>
    </row>
    <row r="148" spans="1:13" x14ac:dyDescent="0.3">
      <c r="A148" t="s">
        <v>162</v>
      </c>
      <c r="B148" s="1">
        <v>45367</v>
      </c>
      <c r="C148" t="s">
        <v>516</v>
      </c>
      <c r="D148" t="s">
        <v>521</v>
      </c>
      <c r="E148" t="s">
        <v>538</v>
      </c>
      <c r="F148" t="s">
        <v>571</v>
      </c>
      <c r="G148" t="s">
        <v>574</v>
      </c>
      <c r="H148">
        <v>2</v>
      </c>
      <c r="I148">
        <v>24176.23</v>
      </c>
      <c r="J148">
        <v>0</v>
      </c>
      <c r="K148">
        <v>48352.46</v>
      </c>
      <c r="L148">
        <v>40712.769999999997</v>
      </c>
      <c r="M148">
        <v>7639.69</v>
      </c>
    </row>
    <row r="149" spans="1:13" x14ac:dyDescent="0.3">
      <c r="A149" t="s">
        <v>163</v>
      </c>
      <c r="B149" s="1">
        <v>45853</v>
      </c>
      <c r="C149" t="s">
        <v>520</v>
      </c>
      <c r="D149" t="s">
        <v>535</v>
      </c>
      <c r="E149" t="s">
        <v>559</v>
      </c>
      <c r="F149" t="s">
        <v>572</v>
      </c>
      <c r="G149" t="s">
        <v>587</v>
      </c>
      <c r="H149">
        <v>1</v>
      </c>
      <c r="I149">
        <v>1230.58</v>
      </c>
      <c r="J149">
        <v>0.15</v>
      </c>
      <c r="K149">
        <v>1045.99</v>
      </c>
      <c r="L149">
        <v>829.47</v>
      </c>
      <c r="M149">
        <v>216.52</v>
      </c>
    </row>
    <row r="150" spans="1:13" x14ac:dyDescent="0.3">
      <c r="A150" t="s">
        <v>164</v>
      </c>
      <c r="B150" s="1">
        <v>45409</v>
      </c>
      <c r="C150" t="s">
        <v>517</v>
      </c>
      <c r="D150" t="s">
        <v>523</v>
      </c>
      <c r="E150" t="s">
        <v>540</v>
      </c>
      <c r="F150" t="s">
        <v>572</v>
      </c>
      <c r="G150" t="s">
        <v>583</v>
      </c>
      <c r="H150">
        <v>2</v>
      </c>
      <c r="I150">
        <v>856.94</v>
      </c>
      <c r="J150">
        <v>0</v>
      </c>
      <c r="K150">
        <v>1713.88</v>
      </c>
      <c r="L150">
        <v>1516.78</v>
      </c>
      <c r="M150">
        <v>197.1</v>
      </c>
    </row>
    <row r="151" spans="1:13" x14ac:dyDescent="0.3">
      <c r="A151" t="s">
        <v>165</v>
      </c>
      <c r="B151" s="1">
        <v>45700</v>
      </c>
      <c r="C151" t="s">
        <v>519</v>
      </c>
      <c r="D151" t="s">
        <v>526</v>
      </c>
      <c r="E151" t="s">
        <v>543</v>
      </c>
      <c r="F151" t="s">
        <v>572</v>
      </c>
      <c r="G151" t="s">
        <v>577</v>
      </c>
      <c r="H151">
        <v>1</v>
      </c>
      <c r="I151">
        <v>1346.96</v>
      </c>
      <c r="J151">
        <v>0</v>
      </c>
      <c r="K151">
        <v>1346.96</v>
      </c>
      <c r="L151">
        <v>1244.5899999999999</v>
      </c>
      <c r="M151">
        <v>102.37</v>
      </c>
    </row>
    <row r="152" spans="1:13" x14ac:dyDescent="0.3">
      <c r="A152" t="s">
        <v>166</v>
      </c>
      <c r="B152" s="1">
        <v>45448</v>
      </c>
      <c r="C152" t="s">
        <v>519</v>
      </c>
      <c r="D152" t="s">
        <v>526</v>
      </c>
      <c r="E152" t="s">
        <v>562</v>
      </c>
      <c r="F152" t="s">
        <v>571</v>
      </c>
      <c r="G152" t="s">
        <v>575</v>
      </c>
      <c r="H152">
        <v>1</v>
      </c>
      <c r="I152">
        <v>36254.49</v>
      </c>
      <c r="J152">
        <v>0</v>
      </c>
      <c r="K152">
        <v>36254.49</v>
      </c>
      <c r="L152">
        <v>28677.3</v>
      </c>
      <c r="M152">
        <v>7577.19</v>
      </c>
    </row>
    <row r="153" spans="1:13" x14ac:dyDescent="0.3">
      <c r="A153" t="s">
        <v>167</v>
      </c>
      <c r="B153" s="1">
        <v>45673</v>
      </c>
      <c r="C153" t="s">
        <v>518</v>
      </c>
      <c r="D153" t="s">
        <v>524</v>
      </c>
      <c r="E153" t="s">
        <v>550</v>
      </c>
      <c r="F153" t="s">
        <v>573</v>
      </c>
      <c r="G153" t="s">
        <v>584</v>
      </c>
      <c r="H153">
        <v>1</v>
      </c>
      <c r="I153">
        <v>14918.72</v>
      </c>
      <c r="J153">
        <v>0</v>
      </c>
      <c r="K153">
        <v>14918.72</v>
      </c>
      <c r="L153">
        <v>11323.31</v>
      </c>
      <c r="M153">
        <v>3595.41</v>
      </c>
    </row>
    <row r="154" spans="1:13" x14ac:dyDescent="0.3">
      <c r="A154" t="s">
        <v>168</v>
      </c>
      <c r="B154" s="1">
        <v>45712</v>
      </c>
      <c r="C154" t="s">
        <v>520</v>
      </c>
      <c r="D154" t="s">
        <v>535</v>
      </c>
      <c r="E154" t="s">
        <v>565</v>
      </c>
      <c r="F154" t="s">
        <v>572</v>
      </c>
      <c r="G154" t="s">
        <v>587</v>
      </c>
      <c r="H154">
        <v>2</v>
      </c>
      <c r="I154">
        <v>659.28</v>
      </c>
      <c r="J154">
        <v>0.15</v>
      </c>
      <c r="K154">
        <v>1120.78</v>
      </c>
      <c r="L154">
        <v>736.35</v>
      </c>
      <c r="M154">
        <v>384.43</v>
      </c>
    </row>
    <row r="155" spans="1:13" x14ac:dyDescent="0.3">
      <c r="A155" t="s">
        <v>169</v>
      </c>
      <c r="B155" s="1">
        <v>45509</v>
      </c>
      <c r="C155" t="s">
        <v>518</v>
      </c>
      <c r="D155" t="s">
        <v>524</v>
      </c>
      <c r="E155" t="s">
        <v>541</v>
      </c>
      <c r="F155" t="s">
        <v>571</v>
      </c>
      <c r="G155" t="s">
        <v>575</v>
      </c>
      <c r="H155">
        <v>1</v>
      </c>
      <c r="I155">
        <v>29958.78</v>
      </c>
      <c r="J155">
        <v>0</v>
      </c>
      <c r="K155">
        <v>29958.78</v>
      </c>
      <c r="L155">
        <v>25554.84</v>
      </c>
      <c r="M155">
        <v>4403.9399999999996</v>
      </c>
    </row>
    <row r="156" spans="1:13" x14ac:dyDescent="0.3">
      <c r="A156" t="s">
        <v>170</v>
      </c>
      <c r="B156" s="1">
        <v>45409</v>
      </c>
      <c r="C156" t="s">
        <v>520</v>
      </c>
      <c r="D156" t="s">
        <v>528</v>
      </c>
      <c r="E156" t="s">
        <v>552</v>
      </c>
      <c r="F156" t="s">
        <v>573</v>
      </c>
      <c r="G156" t="s">
        <v>584</v>
      </c>
      <c r="H156">
        <v>2</v>
      </c>
      <c r="I156">
        <v>16112.19</v>
      </c>
      <c r="J156">
        <v>0</v>
      </c>
      <c r="K156">
        <v>32224.38</v>
      </c>
      <c r="L156">
        <v>28002.99</v>
      </c>
      <c r="M156">
        <v>4221.3900000000003</v>
      </c>
    </row>
    <row r="157" spans="1:13" x14ac:dyDescent="0.3">
      <c r="A157" t="s">
        <v>171</v>
      </c>
      <c r="B157" s="1">
        <v>45318</v>
      </c>
      <c r="C157" t="s">
        <v>517</v>
      </c>
      <c r="D157" t="s">
        <v>531</v>
      </c>
      <c r="E157" t="s">
        <v>551</v>
      </c>
      <c r="F157" t="s">
        <v>571</v>
      </c>
      <c r="G157" t="s">
        <v>578</v>
      </c>
      <c r="H157">
        <v>1</v>
      </c>
      <c r="I157">
        <v>57107.81</v>
      </c>
      <c r="J157">
        <v>0</v>
      </c>
      <c r="K157">
        <v>57107.81</v>
      </c>
      <c r="L157">
        <v>52881.83</v>
      </c>
      <c r="M157">
        <v>4225.9799999999996</v>
      </c>
    </row>
    <row r="158" spans="1:13" x14ac:dyDescent="0.3">
      <c r="A158" t="s">
        <v>172</v>
      </c>
      <c r="B158" s="1">
        <v>45639</v>
      </c>
      <c r="C158" t="s">
        <v>520</v>
      </c>
      <c r="D158" t="s">
        <v>528</v>
      </c>
      <c r="E158" t="s">
        <v>547</v>
      </c>
      <c r="F158" t="s">
        <v>571</v>
      </c>
      <c r="G158" t="s">
        <v>579</v>
      </c>
      <c r="H158">
        <v>1</v>
      </c>
      <c r="I158">
        <v>53615.54</v>
      </c>
      <c r="J158">
        <v>0.15</v>
      </c>
      <c r="K158">
        <v>45573.21</v>
      </c>
      <c r="L158">
        <v>30123.89</v>
      </c>
      <c r="M158">
        <v>15449.32</v>
      </c>
    </row>
    <row r="159" spans="1:13" x14ac:dyDescent="0.3">
      <c r="A159" t="s">
        <v>173</v>
      </c>
      <c r="B159" s="1">
        <v>45323</v>
      </c>
      <c r="C159" t="s">
        <v>516</v>
      </c>
      <c r="D159" t="s">
        <v>527</v>
      </c>
      <c r="E159" t="s">
        <v>558</v>
      </c>
      <c r="F159" t="s">
        <v>572</v>
      </c>
      <c r="G159" t="s">
        <v>586</v>
      </c>
      <c r="H159">
        <v>2</v>
      </c>
      <c r="I159">
        <v>714.75</v>
      </c>
      <c r="J159">
        <v>0</v>
      </c>
      <c r="K159">
        <v>1429.5</v>
      </c>
      <c r="L159">
        <v>1059.26</v>
      </c>
      <c r="M159">
        <v>370.24</v>
      </c>
    </row>
    <row r="160" spans="1:13" x14ac:dyDescent="0.3">
      <c r="A160" t="s">
        <v>174</v>
      </c>
      <c r="B160" s="1">
        <v>45624</v>
      </c>
      <c r="C160" t="s">
        <v>517</v>
      </c>
      <c r="D160" t="s">
        <v>536</v>
      </c>
      <c r="E160" t="s">
        <v>560</v>
      </c>
      <c r="F160" t="s">
        <v>571</v>
      </c>
      <c r="G160" t="s">
        <v>574</v>
      </c>
      <c r="H160">
        <v>1</v>
      </c>
      <c r="I160">
        <v>61091.56</v>
      </c>
      <c r="J160">
        <v>0.05</v>
      </c>
      <c r="K160">
        <v>58036.98</v>
      </c>
      <c r="L160">
        <v>52117.21</v>
      </c>
      <c r="M160">
        <v>5919.77</v>
      </c>
    </row>
    <row r="161" spans="1:13" x14ac:dyDescent="0.3">
      <c r="A161" t="s">
        <v>175</v>
      </c>
      <c r="B161" s="1">
        <v>45570</v>
      </c>
      <c r="C161" t="s">
        <v>519</v>
      </c>
      <c r="D161" t="s">
        <v>534</v>
      </c>
      <c r="E161" t="s">
        <v>556</v>
      </c>
      <c r="F161" t="s">
        <v>573</v>
      </c>
      <c r="G161" t="s">
        <v>581</v>
      </c>
      <c r="H161">
        <v>1</v>
      </c>
      <c r="I161">
        <v>11526.23</v>
      </c>
      <c r="J161">
        <v>0</v>
      </c>
      <c r="K161">
        <v>11526.23</v>
      </c>
      <c r="L161">
        <v>10085.450000000001</v>
      </c>
      <c r="M161">
        <v>1440.78</v>
      </c>
    </row>
    <row r="162" spans="1:13" x14ac:dyDescent="0.3">
      <c r="A162" t="s">
        <v>176</v>
      </c>
      <c r="B162" s="1">
        <v>45816</v>
      </c>
      <c r="C162" t="s">
        <v>516</v>
      </c>
      <c r="D162" t="s">
        <v>521</v>
      </c>
      <c r="E162" t="s">
        <v>568</v>
      </c>
      <c r="F162" t="s">
        <v>571</v>
      </c>
      <c r="G162" t="s">
        <v>578</v>
      </c>
      <c r="H162">
        <v>1</v>
      </c>
      <c r="I162">
        <v>55222.78</v>
      </c>
      <c r="J162">
        <v>0</v>
      </c>
      <c r="K162">
        <v>55222.78</v>
      </c>
      <c r="L162">
        <v>40643.97</v>
      </c>
      <c r="M162">
        <v>14578.81</v>
      </c>
    </row>
    <row r="163" spans="1:13" x14ac:dyDescent="0.3">
      <c r="A163" t="s">
        <v>177</v>
      </c>
      <c r="B163" s="1">
        <v>45831</v>
      </c>
      <c r="C163" t="s">
        <v>520</v>
      </c>
      <c r="D163" t="s">
        <v>528</v>
      </c>
      <c r="E163" t="s">
        <v>547</v>
      </c>
      <c r="F163" t="s">
        <v>572</v>
      </c>
      <c r="G163" t="s">
        <v>587</v>
      </c>
      <c r="H163">
        <v>2</v>
      </c>
      <c r="I163">
        <v>156.82</v>
      </c>
      <c r="J163">
        <v>0</v>
      </c>
      <c r="K163">
        <v>313.64</v>
      </c>
      <c r="L163">
        <v>271.61</v>
      </c>
      <c r="M163">
        <v>42.03</v>
      </c>
    </row>
    <row r="164" spans="1:13" x14ac:dyDescent="0.3">
      <c r="A164" t="s">
        <v>178</v>
      </c>
      <c r="B164" s="1">
        <v>45508</v>
      </c>
      <c r="C164" t="s">
        <v>518</v>
      </c>
      <c r="D164" t="s">
        <v>529</v>
      </c>
      <c r="E164" t="s">
        <v>553</v>
      </c>
      <c r="F164" t="s">
        <v>572</v>
      </c>
      <c r="G164" t="s">
        <v>588</v>
      </c>
      <c r="H164">
        <v>4</v>
      </c>
      <c r="I164">
        <v>65.069999999999993</v>
      </c>
      <c r="J164">
        <v>0</v>
      </c>
      <c r="K164">
        <v>260.27999999999997</v>
      </c>
      <c r="L164">
        <v>189.74</v>
      </c>
      <c r="M164">
        <v>70.540000000000006</v>
      </c>
    </row>
    <row r="165" spans="1:13" x14ac:dyDescent="0.3">
      <c r="A165" t="s">
        <v>179</v>
      </c>
      <c r="B165" s="1">
        <v>45471</v>
      </c>
      <c r="C165" t="s">
        <v>518</v>
      </c>
      <c r="D165" t="s">
        <v>529</v>
      </c>
      <c r="E165" t="s">
        <v>548</v>
      </c>
      <c r="F165" t="s">
        <v>573</v>
      </c>
      <c r="G165" t="s">
        <v>584</v>
      </c>
      <c r="H165">
        <v>1</v>
      </c>
      <c r="I165">
        <v>21167.15</v>
      </c>
      <c r="J165">
        <v>0</v>
      </c>
      <c r="K165">
        <v>21167.15</v>
      </c>
      <c r="L165">
        <v>16214.04</v>
      </c>
      <c r="M165">
        <v>4953.1099999999997</v>
      </c>
    </row>
    <row r="166" spans="1:13" x14ac:dyDescent="0.3">
      <c r="A166" t="s">
        <v>180</v>
      </c>
      <c r="B166" s="1">
        <v>45365</v>
      </c>
      <c r="C166" t="s">
        <v>519</v>
      </c>
      <c r="D166" t="s">
        <v>526</v>
      </c>
      <c r="E166" t="s">
        <v>543</v>
      </c>
      <c r="F166" t="s">
        <v>571</v>
      </c>
      <c r="G166" t="s">
        <v>576</v>
      </c>
      <c r="H166">
        <v>1</v>
      </c>
      <c r="I166">
        <v>73929.509999999995</v>
      </c>
      <c r="J166">
        <v>0</v>
      </c>
      <c r="K166">
        <v>73929.509999999995</v>
      </c>
      <c r="L166">
        <v>64762.25</v>
      </c>
      <c r="M166">
        <v>9167.26</v>
      </c>
    </row>
    <row r="167" spans="1:13" x14ac:dyDescent="0.3">
      <c r="A167" t="s">
        <v>181</v>
      </c>
      <c r="B167" s="1">
        <v>45881</v>
      </c>
      <c r="C167" t="s">
        <v>519</v>
      </c>
      <c r="D167" t="s">
        <v>534</v>
      </c>
      <c r="E167" t="s">
        <v>556</v>
      </c>
      <c r="F167" t="s">
        <v>572</v>
      </c>
      <c r="G167" t="s">
        <v>588</v>
      </c>
      <c r="H167">
        <v>1</v>
      </c>
      <c r="I167">
        <v>839.81</v>
      </c>
      <c r="J167">
        <v>0</v>
      </c>
      <c r="K167">
        <v>839.81</v>
      </c>
      <c r="L167">
        <v>607.17999999999995</v>
      </c>
      <c r="M167">
        <v>232.63</v>
      </c>
    </row>
    <row r="168" spans="1:13" x14ac:dyDescent="0.3">
      <c r="A168" t="s">
        <v>182</v>
      </c>
      <c r="B168" s="1">
        <v>45467</v>
      </c>
      <c r="C168" t="s">
        <v>517</v>
      </c>
      <c r="D168" t="s">
        <v>530</v>
      </c>
      <c r="E168" t="s">
        <v>549</v>
      </c>
      <c r="F168" t="s">
        <v>571</v>
      </c>
      <c r="G168" t="s">
        <v>576</v>
      </c>
      <c r="H168">
        <v>1</v>
      </c>
      <c r="I168">
        <v>68025.3</v>
      </c>
      <c r="J168">
        <v>0</v>
      </c>
      <c r="K168">
        <v>68025.3</v>
      </c>
      <c r="L168">
        <v>62243.15</v>
      </c>
      <c r="M168">
        <v>5782.15</v>
      </c>
    </row>
    <row r="169" spans="1:13" x14ac:dyDescent="0.3">
      <c r="A169" t="s">
        <v>183</v>
      </c>
      <c r="B169" s="1">
        <v>45895</v>
      </c>
      <c r="C169" t="s">
        <v>519</v>
      </c>
      <c r="D169" t="s">
        <v>526</v>
      </c>
      <c r="E169" t="s">
        <v>543</v>
      </c>
      <c r="F169" t="s">
        <v>572</v>
      </c>
      <c r="G169" t="s">
        <v>577</v>
      </c>
      <c r="H169">
        <v>1</v>
      </c>
      <c r="I169">
        <v>482.07</v>
      </c>
      <c r="J169">
        <v>0</v>
      </c>
      <c r="K169">
        <v>482.07</v>
      </c>
      <c r="L169">
        <v>452.18</v>
      </c>
      <c r="M169">
        <v>29.89</v>
      </c>
    </row>
    <row r="170" spans="1:13" x14ac:dyDescent="0.3">
      <c r="A170" t="s">
        <v>184</v>
      </c>
      <c r="B170" s="1">
        <v>45370</v>
      </c>
      <c r="C170" t="s">
        <v>517</v>
      </c>
      <c r="D170" t="s">
        <v>536</v>
      </c>
      <c r="E170" t="s">
        <v>560</v>
      </c>
      <c r="F170" t="s">
        <v>572</v>
      </c>
      <c r="G170" t="s">
        <v>577</v>
      </c>
      <c r="H170">
        <v>3</v>
      </c>
      <c r="I170">
        <v>1468.39</v>
      </c>
      <c r="J170">
        <v>0</v>
      </c>
      <c r="K170">
        <v>4405.17</v>
      </c>
      <c r="L170">
        <v>3255.42</v>
      </c>
      <c r="M170">
        <v>1149.75</v>
      </c>
    </row>
    <row r="171" spans="1:13" x14ac:dyDescent="0.3">
      <c r="A171" t="s">
        <v>185</v>
      </c>
      <c r="B171" s="1">
        <v>45443</v>
      </c>
      <c r="C171" t="s">
        <v>518</v>
      </c>
      <c r="D171" t="s">
        <v>537</v>
      </c>
      <c r="E171" t="s">
        <v>561</v>
      </c>
      <c r="F171" t="s">
        <v>572</v>
      </c>
      <c r="G171" t="s">
        <v>583</v>
      </c>
      <c r="H171">
        <v>1</v>
      </c>
      <c r="I171">
        <v>388.32</v>
      </c>
      <c r="J171">
        <v>0.15</v>
      </c>
      <c r="K171">
        <v>330.07</v>
      </c>
      <c r="L171">
        <v>303.99</v>
      </c>
      <c r="M171">
        <v>26.08</v>
      </c>
    </row>
    <row r="172" spans="1:13" x14ac:dyDescent="0.3">
      <c r="A172" t="s">
        <v>186</v>
      </c>
      <c r="B172" s="1">
        <v>45369</v>
      </c>
      <c r="C172" t="s">
        <v>518</v>
      </c>
      <c r="D172" t="s">
        <v>524</v>
      </c>
      <c r="E172" t="s">
        <v>541</v>
      </c>
      <c r="F172" t="s">
        <v>572</v>
      </c>
      <c r="G172" t="s">
        <v>587</v>
      </c>
      <c r="H172">
        <v>1</v>
      </c>
      <c r="I172">
        <v>1531.76</v>
      </c>
      <c r="J172">
        <v>0</v>
      </c>
      <c r="K172">
        <v>1531.76</v>
      </c>
      <c r="L172">
        <v>1237.6600000000001</v>
      </c>
      <c r="M172">
        <v>294.10000000000002</v>
      </c>
    </row>
    <row r="173" spans="1:13" x14ac:dyDescent="0.3">
      <c r="A173" t="s">
        <v>187</v>
      </c>
      <c r="B173" s="1">
        <v>45870</v>
      </c>
      <c r="C173" t="s">
        <v>517</v>
      </c>
      <c r="D173" t="s">
        <v>531</v>
      </c>
      <c r="E173" t="s">
        <v>563</v>
      </c>
      <c r="F173" t="s">
        <v>571</v>
      </c>
      <c r="G173" t="s">
        <v>576</v>
      </c>
      <c r="H173">
        <v>1</v>
      </c>
      <c r="I173">
        <v>8258.0400000000009</v>
      </c>
      <c r="J173">
        <v>0</v>
      </c>
      <c r="K173">
        <v>8258.0400000000009</v>
      </c>
      <c r="L173">
        <v>6771.59</v>
      </c>
      <c r="M173">
        <v>1486.45</v>
      </c>
    </row>
    <row r="174" spans="1:13" x14ac:dyDescent="0.3">
      <c r="A174" t="s">
        <v>188</v>
      </c>
      <c r="B174" s="1">
        <v>45602</v>
      </c>
      <c r="C174" t="s">
        <v>520</v>
      </c>
      <c r="D174" t="s">
        <v>528</v>
      </c>
      <c r="E174" t="s">
        <v>552</v>
      </c>
      <c r="F174" t="s">
        <v>573</v>
      </c>
      <c r="G174" t="s">
        <v>582</v>
      </c>
      <c r="H174">
        <v>1</v>
      </c>
      <c r="I174">
        <v>9139.3799999999992</v>
      </c>
      <c r="J174">
        <v>0</v>
      </c>
      <c r="K174">
        <v>9139.3799999999992</v>
      </c>
      <c r="L174">
        <v>6991.63</v>
      </c>
      <c r="M174">
        <v>2147.75</v>
      </c>
    </row>
    <row r="175" spans="1:13" x14ac:dyDescent="0.3">
      <c r="A175" t="s">
        <v>189</v>
      </c>
      <c r="B175" s="1">
        <v>45350</v>
      </c>
      <c r="C175" t="s">
        <v>520</v>
      </c>
      <c r="D175" t="s">
        <v>535</v>
      </c>
      <c r="E175" t="s">
        <v>565</v>
      </c>
      <c r="F175" t="s">
        <v>573</v>
      </c>
      <c r="G175" t="s">
        <v>582</v>
      </c>
      <c r="H175">
        <v>1</v>
      </c>
      <c r="I175">
        <v>16145.19</v>
      </c>
      <c r="J175">
        <v>0</v>
      </c>
      <c r="K175">
        <v>16145.19</v>
      </c>
      <c r="L175">
        <v>15111.9</v>
      </c>
      <c r="M175">
        <v>1033.29</v>
      </c>
    </row>
    <row r="176" spans="1:13" x14ac:dyDescent="0.3">
      <c r="A176" t="s">
        <v>190</v>
      </c>
      <c r="B176" s="1">
        <v>45765</v>
      </c>
      <c r="C176" t="s">
        <v>517</v>
      </c>
      <c r="D176" t="s">
        <v>536</v>
      </c>
      <c r="E176" t="s">
        <v>560</v>
      </c>
      <c r="F176" t="s">
        <v>573</v>
      </c>
      <c r="G176" t="s">
        <v>585</v>
      </c>
      <c r="H176">
        <v>1</v>
      </c>
      <c r="I176">
        <v>9395.1200000000008</v>
      </c>
      <c r="J176">
        <v>0</v>
      </c>
      <c r="K176">
        <v>9395.1200000000008</v>
      </c>
      <c r="L176">
        <v>7159.08</v>
      </c>
      <c r="M176">
        <v>2236.04</v>
      </c>
    </row>
    <row r="177" spans="1:13" x14ac:dyDescent="0.3">
      <c r="A177" t="s">
        <v>191</v>
      </c>
      <c r="B177" s="1">
        <v>45446</v>
      </c>
      <c r="C177" t="s">
        <v>516</v>
      </c>
      <c r="D177" t="s">
        <v>522</v>
      </c>
      <c r="E177" t="s">
        <v>539</v>
      </c>
      <c r="F177" t="s">
        <v>572</v>
      </c>
      <c r="G177" t="s">
        <v>588</v>
      </c>
      <c r="H177">
        <v>1</v>
      </c>
      <c r="I177">
        <v>1033.8699999999999</v>
      </c>
      <c r="J177">
        <v>0.05</v>
      </c>
      <c r="K177">
        <v>982.18</v>
      </c>
      <c r="L177">
        <v>680.65</v>
      </c>
      <c r="M177">
        <v>301.52999999999997</v>
      </c>
    </row>
    <row r="178" spans="1:13" x14ac:dyDescent="0.3">
      <c r="A178" t="s">
        <v>192</v>
      </c>
      <c r="B178" s="1">
        <v>45740</v>
      </c>
      <c r="C178" t="s">
        <v>519</v>
      </c>
      <c r="D178" t="s">
        <v>533</v>
      </c>
      <c r="E178" t="s">
        <v>555</v>
      </c>
      <c r="F178" t="s">
        <v>572</v>
      </c>
      <c r="G178" t="s">
        <v>577</v>
      </c>
      <c r="H178">
        <v>2</v>
      </c>
      <c r="I178">
        <v>805.46</v>
      </c>
      <c r="J178">
        <v>0</v>
      </c>
      <c r="K178">
        <v>1610.92</v>
      </c>
      <c r="L178">
        <v>1451.44</v>
      </c>
      <c r="M178">
        <v>159.47999999999999</v>
      </c>
    </row>
    <row r="179" spans="1:13" x14ac:dyDescent="0.3">
      <c r="A179" t="s">
        <v>193</v>
      </c>
      <c r="B179" s="1">
        <v>45345</v>
      </c>
      <c r="C179" t="s">
        <v>520</v>
      </c>
      <c r="D179" t="s">
        <v>528</v>
      </c>
      <c r="E179" t="s">
        <v>552</v>
      </c>
      <c r="F179" t="s">
        <v>571</v>
      </c>
      <c r="G179" t="s">
        <v>579</v>
      </c>
      <c r="H179">
        <v>1</v>
      </c>
      <c r="I179">
        <v>55235.21</v>
      </c>
      <c r="J179">
        <v>0</v>
      </c>
      <c r="K179">
        <v>55235.21</v>
      </c>
      <c r="L179">
        <v>41813.050000000003</v>
      </c>
      <c r="M179">
        <v>13422.16</v>
      </c>
    </row>
    <row r="180" spans="1:13" x14ac:dyDescent="0.3">
      <c r="A180" t="s">
        <v>194</v>
      </c>
      <c r="B180" s="1">
        <v>45445</v>
      </c>
      <c r="C180" t="s">
        <v>520</v>
      </c>
      <c r="D180" t="s">
        <v>528</v>
      </c>
      <c r="E180" t="s">
        <v>547</v>
      </c>
      <c r="F180" t="s">
        <v>572</v>
      </c>
      <c r="G180" t="s">
        <v>577</v>
      </c>
      <c r="H180">
        <v>1</v>
      </c>
      <c r="I180">
        <v>1937.01</v>
      </c>
      <c r="J180">
        <v>0</v>
      </c>
      <c r="K180">
        <v>1937.01</v>
      </c>
      <c r="L180">
        <v>1499.25</v>
      </c>
      <c r="M180">
        <v>437.76</v>
      </c>
    </row>
    <row r="181" spans="1:13" x14ac:dyDescent="0.3">
      <c r="A181" t="s">
        <v>195</v>
      </c>
      <c r="B181" s="1">
        <v>45693</v>
      </c>
      <c r="C181" t="s">
        <v>518</v>
      </c>
      <c r="D181" t="s">
        <v>524</v>
      </c>
      <c r="E181" t="s">
        <v>550</v>
      </c>
      <c r="F181" t="s">
        <v>572</v>
      </c>
      <c r="G181" t="s">
        <v>587</v>
      </c>
      <c r="H181">
        <v>4</v>
      </c>
      <c r="I181">
        <v>784.52</v>
      </c>
      <c r="J181">
        <v>0</v>
      </c>
      <c r="K181">
        <v>3138.08</v>
      </c>
      <c r="L181">
        <v>2438.29</v>
      </c>
      <c r="M181">
        <v>699.79</v>
      </c>
    </row>
    <row r="182" spans="1:13" x14ac:dyDescent="0.3">
      <c r="A182" t="s">
        <v>196</v>
      </c>
      <c r="B182" s="1">
        <v>45422</v>
      </c>
      <c r="C182" t="s">
        <v>517</v>
      </c>
      <c r="D182" t="s">
        <v>536</v>
      </c>
      <c r="E182" t="s">
        <v>560</v>
      </c>
      <c r="F182" t="s">
        <v>573</v>
      </c>
      <c r="G182" t="s">
        <v>580</v>
      </c>
      <c r="H182">
        <v>1</v>
      </c>
      <c r="I182">
        <v>2419.3000000000002</v>
      </c>
      <c r="J182">
        <v>0</v>
      </c>
      <c r="K182">
        <v>2419.3000000000002</v>
      </c>
      <c r="L182">
        <v>1831.41</v>
      </c>
      <c r="M182">
        <v>587.89</v>
      </c>
    </row>
    <row r="183" spans="1:13" x14ac:dyDescent="0.3">
      <c r="A183" t="s">
        <v>197</v>
      </c>
      <c r="B183" s="1">
        <v>45511</v>
      </c>
      <c r="C183" t="s">
        <v>520</v>
      </c>
      <c r="D183" t="s">
        <v>535</v>
      </c>
      <c r="E183" t="s">
        <v>565</v>
      </c>
      <c r="F183" t="s">
        <v>571</v>
      </c>
      <c r="G183" t="s">
        <v>574</v>
      </c>
      <c r="H183">
        <v>1</v>
      </c>
      <c r="I183">
        <v>14930.78</v>
      </c>
      <c r="J183">
        <v>0</v>
      </c>
      <c r="K183">
        <v>14930.78</v>
      </c>
      <c r="L183">
        <v>11735.59</v>
      </c>
      <c r="M183">
        <v>3195.19</v>
      </c>
    </row>
    <row r="184" spans="1:13" x14ac:dyDescent="0.3">
      <c r="A184" t="s">
        <v>198</v>
      </c>
      <c r="B184" s="1">
        <v>45395</v>
      </c>
      <c r="C184" t="s">
        <v>517</v>
      </c>
      <c r="D184" t="s">
        <v>536</v>
      </c>
      <c r="E184" t="s">
        <v>560</v>
      </c>
      <c r="F184" t="s">
        <v>573</v>
      </c>
      <c r="G184" t="s">
        <v>585</v>
      </c>
      <c r="H184">
        <v>4</v>
      </c>
      <c r="I184">
        <v>15736.67</v>
      </c>
      <c r="J184">
        <v>0.05</v>
      </c>
      <c r="K184">
        <v>59799.35</v>
      </c>
      <c r="L184">
        <v>49872.66</v>
      </c>
      <c r="M184">
        <v>9926.69</v>
      </c>
    </row>
    <row r="185" spans="1:13" x14ac:dyDescent="0.3">
      <c r="A185" t="s">
        <v>199</v>
      </c>
      <c r="B185" s="1">
        <v>45461</v>
      </c>
      <c r="C185" t="s">
        <v>519</v>
      </c>
      <c r="D185" t="s">
        <v>526</v>
      </c>
      <c r="E185" t="s">
        <v>543</v>
      </c>
      <c r="F185" t="s">
        <v>572</v>
      </c>
      <c r="G185" t="s">
        <v>583</v>
      </c>
      <c r="H185">
        <v>4</v>
      </c>
      <c r="I185">
        <v>1940.7</v>
      </c>
      <c r="J185">
        <v>0</v>
      </c>
      <c r="K185">
        <v>7762.8</v>
      </c>
      <c r="L185">
        <v>5263.18</v>
      </c>
      <c r="M185">
        <v>2499.62</v>
      </c>
    </row>
    <row r="186" spans="1:13" x14ac:dyDescent="0.3">
      <c r="A186" t="s">
        <v>200</v>
      </c>
      <c r="B186" s="1">
        <v>45751</v>
      </c>
      <c r="C186" t="s">
        <v>518</v>
      </c>
      <c r="D186" t="s">
        <v>524</v>
      </c>
      <c r="E186" t="s">
        <v>550</v>
      </c>
      <c r="F186" t="s">
        <v>572</v>
      </c>
      <c r="G186" t="s">
        <v>586</v>
      </c>
      <c r="H186">
        <v>1</v>
      </c>
      <c r="I186">
        <v>1812.75</v>
      </c>
      <c r="J186">
        <v>0.15</v>
      </c>
      <c r="K186">
        <v>1540.84</v>
      </c>
      <c r="L186">
        <v>1431.44</v>
      </c>
      <c r="M186">
        <v>109.4</v>
      </c>
    </row>
    <row r="187" spans="1:13" x14ac:dyDescent="0.3">
      <c r="A187" t="s">
        <v>201</v>
      </c>
      <c r="B187" s="1">
        <v>45876</v>
      </c>
      <c r="C187" t="s">
        <v>519</v>
      </c>
      <c r="D187" t="s">
        <v>534</v>
      </c>
      <c r="E187" t="s">
        <v>556</v>
      </c>
      <c r="F187" t="s">
        <v>572</v>
      </c>
      <c r="G187" t="s">
        <v>587</v>
      </c>
      <c r="H187">
        <v>1</v>
      </c>
      <c r="I187">
        <v>1078.55</v>
      </c>
      <c r="J187">
        <v>0</v>
      </c>
      <c r="K187">
        <v>1078.55</v>
      </c>
      <c r="L187">
        <v>1019.23</v>
      </c>
      <c r="M187">
        <v>59.32</v>
      </c>
    </row>
    <row r="188" spans="1:13" x14ac:dyDescent="0.3">
      <c r="A188" t="s">
        <v>202</v>
      </c>
      <c r="B188" s="1">
        <v>45496</v>
      </c>
      <c r="C188" t="s">
        <v>517</v>
      </c>
      <c r="D188" t="s">
        <v>523</v>
      </c>
      <c r="E188" t="s">
        <v>540</v>
      </c>
      <c r="F188" t="s">
        <v>571</v>
      </c>
      <c r="G188" t="s">
        <v>576</v>
      </c>
      <c r="H188">
        <v>1</v>
      </c>
      <c r="I188">
        <v>70307</v>
      </c>
      <c r="J188">
        <v>0</v>
      </c>
      <c r="K188">
        <v>70307</v>
      </c>
      <c r="L188">
        <v>52378.720000000001</v>
      </c>
      <c r="M188">
        <v>17928.28</v>
      </c>
    </row>
    <row r="189" spans="1:13" x14ac:dyDescent="0.3">
      <c r="A189" t="s">
        <v>203</v>
      </c>
      <c r="B189" s="1">
        <v>45397</v>
      </c>
      <c r="C189" t="s">
        <v>517</v>
      </c>
      <c r="D189" t="s">
        <v>536</v>
      </c>
      <c r="E189" t="s">
        <v>560</v>
      </c>
      <c r="F189" t="s">
        <v>571</v>
      </c>
      <c r="G189" t="s">
        <v>574</v>
      </c>
      <c r="H189">
        <v>1</v>
      </c>
      <c r="I189">
        <v>24004.93</v>
      </c>
      <c r="J189">
        <v>0</v>
      </c>
      <c r="K189">
        <v>24004.93</v>
      </c>
      <c r="L189">
        <v>20500.21</v>
      </c>
      <c r="M189">
        <v>3504.72</v>
      </c>
    </row>
    <row r="190" spans="1:13" x14ac:dyDescent="0.3">
      <c r="A190" t="s">
        <v>204</v>
      </c>
      <c r="B190" s="1">
        <v>45442</v>
      </c>
      <c r="C190" t="s">
        <v>519</v>
      </c>
      <c r="D190" t="s">
        <v>526</v>
      </c>
      <c r="E190" t="s">
        <v>562</v>
      </c>
      <c r="F190" t="s">
        <v>572</v>
      </c>
      <c r="G190" t="s">
        <v>577</v>
      </c>
      <c r="H190">
        <v>2</v>
      </c>
      <c r="I190">
        <v>1864.42</v>
      </c>
      <c r="J190">
        <v>0</v>
      </c>
      <c r="K190">
        <v>3728.84</v>
      </c>
      <c r="L190">
        <v>3516.3</v>
      </c>
      <c r="M190">
        <v>212.54</v>
      </c>
    </row>
    <row r="191" spans="1:13" x14ac:dyDescent="0.3">
      <c r="A191" t="s">
        <v>205</v>
      </c>
      <c r="B191" s="1">
        <v>45697</v>
      </c>
      <c r="C191" t="s">
        <v>517</v>
      </c>
      <c r="D191" t="s">
        <v>531</v>
      </c>
      <c r="E191" t="s">
        <v>551</v>
      </c>
      <c r="F191" t="s">
        <v>572</v>
      </c>
      <c r="G191" t="s">
        <v>588</v>
      </c>
      <c r="H191">
        <v>2</v>
      </c>
      <c r="I191">
        <v>781.08</v>
      </c>
      <c r="J191">
        <v>0.05</v>
      </c>
      <c r="K191">
        <v>1484.05</v>
      </c>
      <c r="L191">
        <v>1283.7</v>
      </c>
      <c r="M191">
        <v>200.35</v>
      </c>
    </row>
    <row r="192" spans="1:13" x14ac:dyDescent="0.3">
      <c r="A192" t="s">
        <v>206</v>
      </c>
      <c r="B192" s="1">
        <v>45635</v>
      </c>
      <c r="C192" t="s">
        <v>518</v>
      </c>
      <c r="D192" t="s">
        <v>537</v>
      </c>
      <c r="E192" t="s">
        <v>561</v>
      </c>
      <c r="F192" t="s">
        <v>572</v>
      </c>
      <c r="G192" t="s">
        <v>586</v>
      </c>
      <c r="H192">
        <v>1</v>
      </c>
      <c r="I192">
        <v>1407.34</v>
      </c>
      <c r="J192">
        <v>0.15</v>
      </c>
      <c r="K192">
        <v>1196.24</v>
      </c>
      <c r="L192">
        <v>886.41</v>
      </c>
      <c r="M192">
        <v>309.83</v>
      </c>
    </row>
    <row r="193" spans="1:13" x14ac:dyDescent="0.3">
      <c r="A193" t="s">
        <v>207</v>
      </c>
      <c r="B193" s="1">
        <v>45772</v>
      </c>
      <c r="C193" t="s">
        <v>519</v>
      </c>
      <c r="D193" t="s">
        <v>526</v>
      </c>
      <c r="E193" t="s">
        <v>562</v>
      </c>
      <c r="F193" t="s">
        <v>571</v>
      </c>
      <c r="G193" t="s">
        <v>578</v>
      </c>
      <c r="H193">
        <v>1</v>
      </c>
      <c r="I193">
        <v>19605.419999999998</v>
      </c>
      <c r="J193">
        <v>0.15</v>
      </c>
      <c r="K193">
        <v>16664.61</v>
      </c>
      <c r="L193">
        <v>11448.59</v>
      </c>
      <c r="M193">
        <v>5216.0200000000004</v>
      </c>
    </row>
    <row r="194" spans="1:13" x14ac:dyDescent="0.3">
      <c r="A194" t="s">
        <v>208</v>
      </c>
      <c r="B194" s="1">
        <v>45832</v>
      </c>
      <c r="C194" t="s">
        <v>519</v>
      </c>
      <c r="D194" t="s">
        <v>526</v>
      </c>
      <c r="E194" t="s">
        <v>543</v>
      </c>
      <c r="F194" t="s">
        <v>571</v>
      </c>
      <c r="G194" t="s">
        <v>578</v>
      </c>
      <c r="H194">
        <v>2</v>
      </c>
      <c r="I194">
        <v>12382.32</v>
      </c>
      <c r="J194">
        <v>0</v>
      </c>
      <c r="K194">
        <v>24764.639999999999</v>
      </c>
      <c r="L194">
        <v>17558.13</v>
      </c>
      <c r="M194">
        <v>7206.51</v>
      </c>
    </row>
    <row r="195" spans="1:13" x14ac:dyDescent="0.3">
      <c r="A195" t="s">
        <v>209</v>
      </c>
      <c r="B195" s="1">
        <v>45760</v>
      </c>
      <c r="C195" t="s">
        <v>516</v>
      </c>
      <c r="D195" t="s">
        <v>525</v>
      </c>
      <c r="E195" t="s">
        <v>542</v>
      </c>
      <c r="F195" t="s">
        <v>573</v>
      </c>
      <c r="G195" t="s">
        <v>584</v>
      </c>
      <c r="H195">
        <v>1</v>
      </c>
      <c r="I195">
        <v>2378.0100000000002</v>
      </c>
      <c r="J195">
        <v>0</v>
      </c>
      <c r="K195">
        <v>2378.0100000000002</v>
      </c>
      <c r="L195">
        <v>2133.0700000000002</v>
      </c>
      <c r="M195">
        <v>244.94</v>
      </c>
    </row>
    <row r="196" spans="1:13" x14ac:dyDescent="0.3">
      <c r="A196" t="s">
        <v>210</v>
      </c>
      <c r="B196" s="1">
        <v>45539</v>
      </c>
      <c r="C196" t="s">
        <v>518</v>
      </c>
      <c r="D196" t="s">
        <v>529</v>
      </c>
      <c r="E196" t="s">
        <v>553</v>
      </c>
      <c r="F196" t="s">
        <v>571</v>
      </c>
      <c r="G196" t="s">
        <v>579</v>
      </c>
      <c r="H196">
        <v>2</v>
      </c>
      <c r="I196">
        <v>30166.84</v>
      </c>
      <c r="J196">
        <v>0</v>
      </c>
      <c r="K196">
        <v>60333.68</v>
      </c>
      <c r="L196">
        <v>42716.25</v>
      </c>
      <c r="M196">
        <v>17617.43</v>
      </c>
    </row>
    <row r="197" spans="1:13" x14ac:dyDescent="0.3">
      <c r="A197" t="s">
        <v>211</v>
      </c>
      <c r="B197" s="1">
        <v>45483</v>
      </c>
      <c r="C197" t="s">
        <v>516</v>
      </c>
      <c r="D197" t="s">
        <v>521</v>
      </c>
      <c r="E197" t="s">
        <v>538</v>
      </c>
      <c r="F197" t="s">
        <v>573</v>
      </c>
      <c r="G197" t="s">
        <v>584</v>
      </c>
      <c r="H197">
        <v>5</v>
      </c>
      <c r="I197">
        <v>13668.54</v>
      </c>
      <c r="J197">
        <v>0</v>
      </c>
      <c r="K197">
        <v>68342.7</v>
      </c>
      <c r="L197">
        <v>56451.07</v>
      </c>
      <c r="M197">
        <v>11891.63</v>
      </c>
    </row>
    <row r="198" spans="1:13" x14ac:dyDescent="0.3">
      <c r="A198" t="s">
        <v>212</v>
      </c>
      <c r="B198" s="1">
        <v>45859</v>
      </c>
      <c r="C198" t="s">
        <v>516</v>
      </c>
      <c r="D198" t="s">
        <v>522</v>
      </c>
      <c r="E198" t="s">
        <v>545</v>
      </c>
      <c r="F198" t="s">
        <v>571</v>
      </c>
      <c r="G198" t="s">
        <v>576</v>
      </c>
      <c r="H198">
        <v>1</v>
      </c>
      <c r="I198">
        <v>78540.039999999994</v>
      </c>
      <c r="J198">
        <v>0</v>
      </c>
      <c r="K198">
        <v>78540.039999999994</v>
      </c>
      <c r="L198">
        <v>56313.21</v>
      </c>
      <c r="M198">
        <v>22226.83</v>
      </c>
    </row>
    <row r="199" spans="1:13" x14ac:dyDescent="0.3">
      <c r="A199" t="s">
        <v>213</v>
      </c>
      <c r="B199" s="1">
        <v>45308</v>
      </c>
      <c r="C199" t="s">
        <v>520</v>
      </c>
      <c r="D199" t="s">
        <v>528</v>
      </c>
      <c r="E199" t="s">
        <v>552</v>
      </c>
      <c r="F199" t="s">
        <v>571</v>
      </c>
      <c r="G199" t="s">
        <v>575</v>
      </c>
      <c r="H199">
        <v>1</v>
      </c>
      <c r="I199">
        <v>62405.61</v>
      </c>
      <c r="J199">
        <v>0</v>
      </c>
      <c r="K199">
        <v>62405.61</v>
      </c>
      <c r="L199">
        <v>41874.160000000003</v>
      </c>
      <c r="M199">
        <v>20531.45</v>
      </c>
    </row>
    <row r="200" spans="1:13" x14ac:dyDescent="0.3">
      <c r="A200" t="s">
        <v>214</v>
      </c>
      <c r="B200" s="1">
        <v>45632</v>
      </c>
      <c r="C200" t="s">
        <v>518</v>
      </c>
      <c r="D200" t="s">
        <v>537</v>
      </c>
      <c r="E200" t="s">
        <v>569</v>
      </c>
      <c r="F200" t="s">
        <v>573</v>
      </c>
      <c r="G200" t="s">
        <v>580</v>
      </c>
      <c r="H200">
        <v>3</v>
      </c>
      <c r="I200">
        <v>20710.7</v>
      </c>
      <c r="J200">
        <v>0.15</v>
      </c>
      <c r="K200">
        <v>52812.29</v>
      </c>
      <c r="L200">
        <v>43358.89</v>
      </c>
      <c r="M200">
        <v>9453.4</v>
      </c>
    </row>
    <row r="201" spans="1:13" x14ac:dyDescent="0.3">
      <c r="A201" t="s">
        <v>215</v>
      </c>
      <c r="B201" s="1">
        <v>45767</v>
      </c>
      <c r="C201" t="s">
        <v>519</v>
      </c>
      <c r="D201" t="s">
        <v>533</v>
      </c>
      <c r="E201" t="s">
        <v>570</v>
      </c>
      <c r="F201" t="s">
        <v>571</v>
      </c>
      <c r="G201" t="s">
        <v>576</v>
      </c>
      <c r="H201">
        <v>2</v>
      </c>
      <c r="I201">
        <v>5847.75</v>
      </c>
      <c r="J201">
        <v>0</v>
      </c>
      <c r="K201">
        <v>11695.5</v>
      </c>
      <c r="L201">
        <v>8467.5400000000009</v>
      </c>
      <c r="M201">
        <v>3227.96</v>
      </c>
    </row>
    <row r="202" spans="1:13" x14ac:dyDescent="0.3">
      <c r="A202" t="s">
        <v>216</v>
      </c>
      <c r="B202" s="1">
        <v>45496</v>
      </c>
      <c r="C202" t="s">
        <v>516</v>
      </c>
      <c r="D202" t="s">
        <v>521</v>
      </c>
      <c r="E202" t="s">
        <v>568</v>
      </c>
      <c r="F202" t="s">
        <v>573</v>
      </c>
      <c r="G202" t="s">
        <v>581</v>
      </c>
      <c r="H202">
        <v>1</v>
      </c>
      <c r="I202">
        <v>24749.82</v>
      </c>
      <c r="J202">
        <v>0</v>
      </c>
      <c r="K202">
        <v>24749.82</v>
      </c>
      <c r="L202">
        <v>16805.13</v>
      </c>
      <c r="M202">
        <v>7944.69</v>
      </c>
    </row>
    <row r="203" spans="1:13" x14ac:dyDescent="0.3">
      <c r="A203" t="s">
        <v>217</v>
      </c>
      <c r="B203" s="1">
        <v>45551</v>
      </c>
      <c r="C203" t="s">
        <v>516</v>
      </c>
      <c r="D203" t="s">
        <v>527</v>
      </c>
      <c r="E203" t="s">
        <v>558</v>
      </c>
      <c r="F203" t="s">
        <v>572</v>
      </c>
      <c r="G203" t="s">
        <v>588</v>
      </c>
      <c r="H203">
        <v>1</v>
      </c>
      <c r="I203">
        <v>1738.31</v>
      </c>
      <c r="J203">
        <v>0</v>
      </c>
      <c r="K203">
        <v>1738.31</v>
      </c>
      <c r="L203">
        <v>1220.29</v>
      </c>
      <c r="M203">
        <v>518.02</v>
      </c>
    </row>
    <row r="204" spans="1:13" x14ac:dyDescent="0.3">
      <c r="A204" t="s">
        <v>218</v>
      </c>
      <c r="B204" s="1">
        <v>45419</v>
      </c>
      <c r="C204" t="s">
        <v>520</v>
      </c>
      <c r="D204" t="s">
        <v>535</v>
      </c>
      <c r="E204" t="s">
        <v>559</v>
      </c>
      <c r="F204" t="s">
        <v>573</v>
      </c>
      <c r="G204" t="s">
        <v>581</v>
      </c>
      <c r="H204">
        <v>1</v>
      </c>
      <c r="I204">
        <v>22576.66</v>
      </c>
      <c r="J204">
        <v>0</v>
      </c>
      <c r="K204">
        <v>22576.66</v>
      </c>
      <c r="L204">
        <v>15374.71</v>
      </c>
      <c r="M204">
        <v>7201.95</v>
      </c>
    </row>
    <row r="205" spans="1:13" x14ac:dyDescent="0.3">
      <c r="A205" t="s">
        <v>219</v>
      </c>
      <c r="B205" s="1">
        <v>45483</v>
      </c>
      <c r="C205" t="s">
        <v>519</v>
      </c>
      <c r="D205" t="s">
        <v>534</v>
      </c>
      <c r="E205" t="s">
        <v>556</v>
      </c>
      <c r="F205" t="s">
        <v>573</v>
      </c>
      <c r="G205" t="s">
        <v>580</v>
      </c>
      <c r="H205">
        <v>1</v>
      </c>
      <c r="I205">
        <v>20426.41</v>
      </c>
      <c r="J205">
        <v>0</v>
      </c>
      <c r="K205">
        <v>20426.41</v>
      </c>
      <c r="L205">
        <v>19343.810000000001</v>
      </c>
      <c r="M205">
        <v>1082.5999999999999</v>
      </c>
    </row>
    <row r="206" spans="1:13" x14ac:dyDescent="0.3">
      <c r="A206" t="s">
        <v>220</v>
      </c>
      <c r="B206" s="1">
        <v>45372</v>
      </c>
      <c r="C206" t="s">
        <v>519</v>
      </c>
      <c r="D206" t="s">
        <v>533</v>
      </c>
      <c r="E206" t="s">
        <v>555</v>
      </c>
      <c r="F206" t="s">
        <v>572</v>
      </c>
      <c r="G206" t="s">
        <v>588</v>
      </c>
      <c r="H206">
        <v>3</v>
      </c>
      <c r="I206">
        <v>206.13</v>
      </c>
      <c r="J206">
        <v>0</v>
      </c>
      <c r="K206">
        <v>618.39</v>
      </c>
      <c r="L206">
        <v>570.77</v>
      </c>
      <c r="M206">
        <v>47.62</v>
      </c>
    </row>
    <row r="207" spans="1:13" x14ac:dyDescent="0.3">
      <c r="A207" t="s">
        <v>221</v>
      </c>
      <c r="B207" s="1">
        <v>45605</v>
      </c>
      <c r="C207" t="s">
        <v>519</v>
      </c>
      <c r="D207" t="s">
        <v>534</v>
      </c>
      <c r="E207" t="s">
        <v>566</v>
      </c>
      <c r="F207" t="s">
        <v>573</v>
      </c>
      <c r="G207" t="s">
        <v>581</v>
      </c>
      <c r="H207">
        <v>1</v>
      </c>
      <c r="I207">
        <v>10085.58</v>
      </c>
      <c r="J207">
        <v>0.1</v>
      </c>
      <c r="K207">
        <v>9077.02</v>
      </c>
      <c r="L207">
        <v>6036.22</v>
      </c>
      <c r="M207">
        <v>3040.8</v>
      </c>
    </row>
    <row r="208" spans="1:13" x14ac:dyDescent="0.3">
      <c r="A208" t="s">
        <v>222</v>
      </c>
      <c r="B208" s="1">
        <v>45737</v>
      </c>
      <c r="C208" t="s">
        <v>520</v>
      </c>
      <c r="D208" t="s">
        <v>528</v>
      </c>
      <c r="E208" t="s">
        <v>547</v>
      </c>
      <c r="F208" t="s">
        <v>573</v>
      </c>
      <c r="G208" t="s">
        <v>581</v>
      </c>
      <c r="H208">
        <v>4</v>
      </c>
      <c r="I208">
        <v>10356.16</v>
      </c>
      <c r="J208">
        <v>0</v>
      </c>
      <c r="K208">
        <v>41424.639999999999</v>
      </c>
      <c r="L208">
        <v>32228.37</v>
      </c>
      <c r="M208">
        <v>9196.27</v>
      </c>
    </row>
    <row r="209" spans="1:13" x14ac:dyDescent="0.3">
      <c r="A209" t="s">
        <v>223</v>
      </c>
      <c r="B209" s="1">
        <v>45455</v>
      </c>
      <c r="C209" t="s">
        <v>516</v>
      </c>
      <c r="D209" t="s">
        <v>527</v>
      </c>
      <c r="E209" t="s">
        <v>558</v>
      </c>
      <c r="F209" t="s">
        <v>571</v>
      </c>
      <c r="G209" t="s">
        <v>574</v>
      </c>
      <c r="H209">
        <v>1</v>
      </c>
      <c r="I209">
        <v>8176.97</v>
      </c>
      <c r="J209">
        <v>0</v>
      </c>
      <c r="K209">
        <v>8176.97</v>
      </c>
      <c r="L209">
        <v>6664.23</v>
      </c>
      <c r="M209">
        <v>1512.74</v>
      </c>
    </row>
    <row r="210" spans="1:13" x14ac:dyDescent="0.3">
      <c r="A210" t="s">
        <v>224</v>
      </c>
      <c r="B210" s="1">
        <v>45667</v>
      </c>
      <c r="C210" t="s">
        <v>520</v>
      </c>
      <c r="D210" t="s">
        <v>535</v>
      </c>
      <c r="E210" t="s">
        <v>565</v>
      </c>
      <c r="F210" t="s">
        <v>573</v>
      </c>
      <c r="G210" t="s">
        <v>585</v>
      </c>
      <c r="H210">
        <v>1</v>
      </c>
      <c r="I210">
        <v>17618.43</v>
      </c>
      <c r="J210">
        <v>0</v>
      </c>
      <c r="K210">
        <v>17618.43</v>
      </c>
      <c r="L210">
        <v>14993.28</v>
      </c>
      <c r="M210">
        <v>2625.15</v>
      </c>
    </row>
    <row r="211" spans="1:13" x14ac:dyDescent="0.3">
      <c r="A211" t="s">
        <v>225</v>
      </c>
      <c r="B211" s="1">
        <v>45672</v>
      </c>
      <c r="C211" t="s">
        <v>519</v>
      </c>
      <c r="D211" t="s">
        <v>526</v>
      </c>
      <c r="E211" t="s">
        <v>562</v>
      </c>
      <c r="F211" t="s">
        <v>573</v>
      </c>
      <c r="G211" t="s">
        <v>580</v>
      </c>
      <c r="H211">
        <v>2</v>
      </c>
      <c r="I211">
        <v>11154.78</v>
      </c>
      <c r="J211">
        <v>0</v>
      </c>
      <c r="K211">
        <v>22309.56</v>
      </c>
      <c r="L211">
        <v>16152.12</v>
      </c>
      <c r="M211">
        <v>6157.44</v>
      </c>
    </row>
    <row r="212" spans="1:13" x14ac:dyDescent="0.3">
      <c r="A212" t="s">
        <v>226</v>
      </c>
      <c r="B212" s="1">
        <v>45547</v>
      </c>
      <c r="C212" t="s">
        <v>516</v>
      </c>
      <c r="D212" t="s">
        <v>525</v>
      </c>
      <c r="E212" t="s">
        <v>557</v>
      </c>
      <c r="F212" t="s">
        <v>572</v>
      </c>
      <c r="G212" t="s">
        <v>587</v>
      </c>
      <c r="H212">
        <v>2</v>
      </c>
      <c r="I212">
        <v>804.63</v>
      </c>
      <c r="J212">
        <v>0</v>
      </c>
      <c r="K212">
        <v>1609.26</v>
      </c>
      <c r="L212">
        <v>1147.4000000000001</v>
      </c>
      <c r="M212">
        <v>461.86</v>
      </c>
    </row>
    <row r="213" spans="1:13" x14ac:dyDescent="0.3">
      <c r="A213" t="s">
        <v>227</v>
      </c>
      <c r="B213" s="1">
        <v>45560</v>
      </c>
      <c r="C213" t="s">
        <v>520</v>
      </c>
      <c r="D213" t="s">
        <v>535</v>
      </c>
      <c r="E213" t="s">
        <v>565</v>
      </c>
      <c r="F213" t="s">
        <v>573</v>
      </c>
      <c r="G213" t="s">
        <v>580</v>
      </c>
      <c r="H213">
        <v>1</v>
      </c>
      <c r="I213">
        <v>17961.55</v>
      </c>
      <c r="J213">
        <v>0</v>
      </c>
      <c r="K213">
        <v>17961.55</v>
      </c>
      <c r="L213">
        <v>14405.16</v>
      </c>
      <c r="M213">
        <v>3556.39</v>
      </c>
    </row>
    <row r="214" spans="1:13" x14ac:dyDescent="0.3">
      <c r="A214" t="s">
        <v>228</v>
      </c>
      <c r="B214" s="1">
        <v>45496</v>
      </c>
      <c r="C214" t="s">
        <v>516</v>
      </c>
      <c r="D214" t="s">
        <v>527</v>
      </c>
      <c r="E214" t="s">
        <v>546</v>
      </c>
      <c r="F214" t="s">
        <v>572</v>
      </c>
      <c r="G214" t="s">
        <v>583</v>
      </c>
      <c r="H214">
        <v>1</v>
      </c>
      <c r="I214">
        <v>1802.42</v>
      </c>
      <c r="J214">
        <v>0</v>
      </c>
      <c r="K214">
        <v>1802.42</v>
      </c>
      <c r="L214">
        <v>1414.9</v>
      </c>
      <c r="M214">
        <v>387.52</v>
      </c>
    </row>
    <row r="215" spans="1:13" x14ac:dyDescent="0.3">
      <c r="A215" t="s">
        <v>229</v>
      </c>
      <c r="B215" s="1">
        <v>45381</v>
      </c>
      <c r="C215" t="s">
        <v>520</v>
      </c>
      <c r="D215" t="s">
        <v>535</v>
      </c>
      <c r="E215" t="s">
        <v>565</v>
      </c>
      <c r="F215" t="s">
        <v>573</v>
      </c>
      <c r="G215" t="s">
        <v>584</v>
      </c>
      <c r="H215">
        <v>1</v>
      </c>
      <c r="I215">
        <v>8678.33</v>
      </c>
      <c r="J215">
        <v>0</v>
      </c>
      <c r="K215">
        <v>8678.33</v>
      </c>
      <c r="L215">
        <v>5935.98</v>
      </c>
      <c r="M215">
        <v>2742.35</v>
      </c>
    </row>
    <row r="216" spans="1:13" x14ac:dyDescent="0.3">
      <c r="A216" t="s">
        <v>230</v>
      </c>
      <c r="B216" s="1">
        <v>45453</v>
      </c>
      <c r="C216" t="s">
        <v>518</v>
      </c>
      <c r="D216" t="s">
        <v>529</v>
      </c>
      <c r="E216" t="s">
        <v>548</v>
      </c>
      <c r="F216" t="s">
        <v>571</v>
      </c>
      <c r="G216" t="s">
        <v>574</v>
      </c>
      <c r="H216">
        <v>1</v>
      </c>
      <c r="I216">
        <v>63989.06</v>
      </c>
      <c r="J216">
        <v>0</v>
      </c>
      <c r="K216">
        <v>63989.06</v>
      </c>
      <c r="L216">
        <v>58549.99</v>
      </c>
      <c r="M216">
        <v>5439.07</v>
      </c>
    </row>
    <row r="217" spans="1:13" x14ac:dyDescent="0.3">
      <c r="A217" t="s">
        <v>231</v>
      </c>
      <c r="B217" s="1">
        <v>45797</v>
      </c>
      <c r="C217" t="s">
        <v>516</v>
      </c>
      <c r="D217" t="s">
        <v>521</v>
      </c>
      <c r="E217" t="s">
        <v>568</v>
      </c>
      <c r="F217" t="s">
        <v>572</v>
      </c>
      <c r="G217" t="s">
        <v>587</v>
      </c>
      <c r="H217">
        <v>1</v>
      </c>
      <c r="I217">
        <v>303.05</v>
      </c>
      <c r="J217">
        <v>0</v>
      </c>
      <c r="K217">
        <v>303.05</v>
      </c>
      <c r="L217">
        <v>218.8</v>
      </c>
      <c r="M217">
        <v>84.25</v>
      </c>
    </row>
    <row r="218" spans="1:13" x14ac:dyDescent="0.3">
      <c r="A218" t="s">
        <v>232</v>
      </c>
      <c r="B218" s="1">
        <v>45359</v>
      </c>
      <c r="C218" t="s">
        <v>520</v>
      </c>
      <c r="D218" t="s">
        <v>535</v>
      </c>
      <c r="E218" t="s">
        <v>559</v>
      </c>
      <c r="F218" t="s">
        <v>573</v>
      </c>
      <c r="G218" t="s">
        <v>581</v>
      </c>
      <c r="H218">
        <v>1</v>
      </c>
      <c r="I218">
        <v>19690.78</v>
      </c>
      <c r="J218">
        <v>0</v>
      </c>
      <c r="K218">
        <v>19690.78</v>
      </c>
      <c r="L218">
        <v>18115.52</v>
      </c>
      <c r="M218">
        <v>1575.26</v>
      </c>
    </row>
    <row r="219" spans="1:13" x14ac:dyDescent="0.3">
      <c r="A219" t="s">
        <v>233</v>
      </c>
      <c r="B219" s="1">
        <v>45367</v>
      </c>
      <c r="C219" t="s">
        <v>518</v>
      </c>
      <c r="D219" t="s">
        <v>529</v>
      </c>
      <c r="E219" t="s">
        <v>548</v>
      </c>
      <c r="F219" t="s">
        <v>572</v>
      </c>
      <c r="G219" t="s">
        <v>586</v>
      </c>
      <c r="H219">
        <v>1</v>
      </c>
      <c r="I219">
        <v>1376.21</v>
      </c>
      <c r="J219">
        <v>0</v>
      </c>
      <c r="K219">
        <v>1376.21</v>
      </c>
      <c r="L219">
        <v>1018.4</v>
      </c>
      <c r="M219">
        <v>357.81</v>
      </c>
    </row>
    <row r="220" spans="1:13" x14ac:dyDescent="0.3">
      <c r="A220" t="s">
        <v>234</v>
      </c>
      <c r="B220" s="1">
        <v>45856</v>
      </c>
      <c r="C220" t="s">
        <v>517</v>
      </c>
      <c r="D220" t="s">
        <v>523</v>
      </c>
      <c r="E220" t="s">
        <v>544</v>
      </c>
      <c r="F220" t="s">
        <v>572</v>
      </c>
      <c r="G220" t="s">
        <v>587</v>
      </c>
      <c r="H220">
        <v>1</v>
      </c>
      <c r="I220">
        <v>1825.89</v>
      </c>
      <c r="J220">
        <v>0.05</v>
      </c>
      <c r="K220">
        <v>1734.6</v>
      </c>
      <c r="L220">
        <v>1219.42</v>
      </c>
      <c r="M220">
        <v>515.17999999999995</v>
      </c>
    </row>
    <row r="221" spans="1:13" x14ac:dyDescent="0.3">
      <c r="A221" t="s">
        <v>235</v>
      </c>
      <c r="B221" s="1">
        <v>45822</v>
      </c>
      <c r="C221" t="s">
        <v>518</v>
      </c>
      <c r="D221" t="s">
        <v>529</v>
      </c>
      <c r="E221" t="s">
        <v>548</v>
      </c>
      <c r="F221" t="s">
        <v>571</v>
      </c>
      <c r="G221" t="s">
        <v>578</v>
      </c>
      <c r="H221">
        <v>2</v>
      </c>
      <c r="I221">
        <v>74974.81</v>
      </c>
      <c r="J221">
        <v>0</v>
      </c>
      <c r="K221">
        <v>149949.62</v>
      </c>
      <c r="L221">
        <v>138853.35</v>
      </c>
      <c r="M221">
        <v>11096.27</v>
      </c>
    </row>
    <row r="222" spans="1:13" x14ac:dyDescent="0.3">
      <c r="A222" t="s">
        <v>236</v>
      </c>
      <c r="B222" s="1">
        <v>45823</v>
      </c>
      <c r="C222" t="s">
        <v>520</v>
      </c>
      <c r="D222" t="s">
        <v>528</v>
      </c>
      <c r="E222" t="s">
        <v>552</v>
      </c>
      <c r="F222" t="s">
        <v>571</v>
      </c>
      <c r="G222" t="s">
        <v>579</v>
      </c>
      <c r="H222">
        <v>1</v>
      </c>
      <c r="I222">
        <v>24132.73</v>
      </c>
      <c r="J222">
        <v>0</v>
      </c>
      <c r="K222">
        <v>24132.73</v>
      </c>
      <c r="L222">
        <v>15782.81</v>
      </c>
      <c r="M222">
        <v>8349.92</v>
      </c>
    </row>
    <row r="223" spans="1:13" x14ac:dyDescent="0.3">
      <c r="A223" t="s">
        <v>237</v>
      </c>
      <c r="B223" s="1">
        <v>45838</v>
      </c>
      <c r="C223" t="s">
        <v>516</v>
      </c>
      <c r="D223" t="s">
        <v>527</v>
      </c>
      <c r="E223" t="s">
        <v>546</v>
      </c>
      <c r="F223" t="s">
        <v>571</v>
      </c>
      <c r="G223" t="s">
        <v>579</v>
      </c>
      <c r="H223">
        <v>1</v>
      </c>
      <c r="I223">
        <v>58488.72</v>
      </c>
      <c r="J223">
        <v>0</v>
      </c>
      <c r="K223">
        <v>58488.72</v>
      </c>
      <c r="L223">
        <v>49072.04</v>
      </c>
      <c r="M223">
        <v>9416.68</v>
      </c>
    </row>
    <row r="224" spans="1:13" x14ac:dyDescent="0.3">
      <c r="A224" t="s">
        <v>238</v>
      </c>
      <c r="B224" s="1">
        <v>45869</v>
      </c>
      <c r="C224" t="s">
        <v>516</v>
      </c>
      <c r="D224" t="s">
        <v>525</v>
      </c>
      <c r="E224" t="s">
        <v>557</v>
      </c>
      <c r="F224" t="s">
        <v>571</v>
      </c>
      <c r="G224" t="s">
        <v>579</v>
      </c>
      <c r="H224">
        <v>2</v>
      </c>
      <c r="I224">
        <v>23378.5</v>
      </c>
      <c r="J224">
        <v>0</v>
      </c>
      <c r="K224">
        <v>46757</v>
      </c>
      <c r="L224">
        <v>31140.16</v>
      </c>
      <c r="M224">
        <v>15616.84</v>
      </c>
    </row>
    <row r="225" spans="1:13" x14ac:dyDescent="0.3">
      <c r="A225" t="s">
        <v>239</v>
      </c>
      <c r="B225" s="1">
        <v>45877</v>
      </c>
      <c r="C225" t="s">
        <v>519</v>
      </c>
      <c r="D225" t="s">
        <v>526</v>
      </c>
      <c r="E225" t="s">
        <v>543</v>
      </c>
      <c r="F225" t="s">
        <v>573</v>
      </c>
      <c r="G225" t="s">
        <v>584</v>
      </c>
      <c r="H225">
        <v>5</v>
      </c>
      <c r="I225">
        <v>8662.4500000000007</v>
      </c>
      <c r="J225">
        <v>0</v>
      </c>
      <c r="K225">
        <v>43312.25</v>
      </c>
      <c r="L225">
        <v>31358.07</v>
      </c>
      <c r="M225">
        <v>11954.18</v>
      </c>
    </row>
    <row r="226" spans="1:13" x14ac:dyDescent="0.3">
      <c r="A226" t="s">
        <v>240</v>
      </c>
      <c r="B226" s="1">
        <v>45786</v>
      </c>
      <c r="C226" t="s">
        <v>518</v>
      </c>
      <c r="D226" t="s">
        <v>524</v>
      </c>
      <c r="E226" t="s">
        <v>541</v>
      </c>
      <c r="F226" t="s">
        <v>572</v>
      </c>
      <c r="G226" t="s">
        <v>586</v>
      </c>
      <c r="H226">
        <v>1</v>
      </c>
      <c r="I226">
        <v>192.3</v>
      </c>
      <c r="J226">
        <v>0.1</v>
      </c>
      <c r="K226">
        <v>173.07</v>
      </c>
      <c r="L226">
        <v>160.09</v>
      </c>
      <c r="M226">
        <v>12.98</v>
      </c>
    </row>
    <row r="227" spans="1:13" x14ac:dyDescent="0.3">
      <c r="A227" t="s">
        <v>241</v>
      </c>
      <c r="B227" s="1">
        <v>45717</v>
      </c>
      <c r="C227" t="s">
        <v>519</v>
      </c>
      <c r="D227" t="s">
        <v>534</v>
      </c>
      <c r="E227" t="s">
        <v>566</v>
      </c>
      <c r="F227" t="s">
        <v>572</v>
      </c>
      <c r="G227" t="s">
        <v>587</v>
      </c>
      <c r="H227">
        <v>2</v>
      </c>
      <c r="I227">
        <v>330.15</v>
      </c>
      <c r="J227">
        <v>0</v>
      </c>
      <c r="K227">
        <v>660.3</v>
      </c>
      <c r="L227">
        <v>516.35</v>
      </c>
      <c r="M227">
        <v>143.94999999999999</v>
      </c>
    </row>
    <row r="228" spans="1:13" x14ac:dyDescent="0.3">
      <c r="A228" t="s">
        <v>242</v>
      </c>
      <c r="B228" s="1">
        <v>45618</v>
      </c>
      <c r="C228" t="s">
        <v>520</v>
      </c>
      <c r="D228" t="s">
        <v>535</v>
      </c>
      <c r="E228" t="s">
        <v>565</v>
      </c>
      <c r="F228" t="s">
        <v>572</v>
      </c>
      <c r="G228" t="s">
        <v>587</v>
      </c>
      <c r="H228">
        <v>1</v>
      </c>
      <c r="I228">
        <v>1145.22</v>
      </c>
      <c r="J228">
        <v>0</v>
      </c>
      <c r="K228">
        <v>1145.22</v>
      </c>
      <c r="L228">
        <v>776.46</v>
      </c>
      <c r="M228">
        <v>368.76</v>
      </c>
    </row>
    <row r="229" spans="1:13" x14ac:dyDescent="0.3">
      <c r="A229" t="s">
        <v>243</v>
      </c>
      <c r="B229" s="1">
        <v>45769</v>
      </c>
      <c r="C229" t="s">
        <v>516</v>
      </c>
      <c r="D229" t="s">
        <v>521</v>
      </c>
      <c r="E229" t="s">
        <v>568</v>
      </c>
      <c r="F229" t="s">
        <v>571</v>
      </c>
      <c r="G229" t="s">
        <v>574</v>
      </c>
      <c r="H229">
        <v>1</v>
      </c>
      <c r="I229">
        <v>10454.5</v>
      </c>
      <c r="J229">
        <v>0</v>
      </c>
      <c r="K229">
        <v>10454.5</v>
      </c>
      <c r="L229">
        <v>8384.51</v>
      </c>
      <c r="M229">
        <v>2069.9899999999998</v>
      </c>
    </row>
    <row r="230" spans="1:13" x14ac:dyDescent="0.3">
      <c r="A230" t="s">
        <v>244</v>
      </c>
      <c r="B230" s="1">
        <v>45685</v>
      </c>
      <c r="C230" t="s">
        <v>517</v>
      </c>
      <c r="D230" t="s">
        <v>530</v>
      </c>
      <c r="E230" t="s">
        <v>567</v>
      </c>
      <c r="F230" t="s">
        <v>571</v>
      </c>
      <c r="G230" t="s">
        <v>578</v>
      </c>
      <c r="H230">
        <v>1</v>
      </c>
      <c r="I230">
        <v>74898.87</v>
      </c>
      <c r="J230">
        <v>0</v>
      </c>
      <c r="K230">
        <v>74898.87</v>
      </c>
      <c r="L230">
        <v>60593.19</v>
      </c>
      <c r="M230">
        <v>14305.68</v>
      </c>
    </row>
    <row r="231" spans="1:13" x14ac:dyDescent="0.3">
      <c r="A231" t="s">
        <v>245</v>
      </c>
      <c r="B231" s="1">
        <v>45486</v>
      </c>
      <c r="C231" t="s">
        <v>518</v>
      </c>
      <c r="D231" t="s">
        <v>529</v>
      </c>
      <c r="E231" t="s">
        <v>553</v>
      </c>
      <c r="F231" t="s">
        <v>572</v>
      </c>
      <c r="G231" t="s">
        <v>577</v>
      </c>
      <c r="H231">
        <v>1</v>
      </c>
      <c r="I231">
        <v>1019.87</v>
      </c>
      <c r="J231">
        <v>0.1</v>
      </c>
      <c r="K231">
        <v>917.88</v>
      </c>
      <c r="L231">
        <v>838.94</v>
      </c>
      <c r="M231">
        <v>78.94</v>
      </c>
    </row>
    <row r="232" spans="1:13" x14ac:dyDescent="0.3">
      <c r="A232" t="s">
        <v>246</v>
      </c>
      <c r="B232" s="1">
        <v>45809</v>
      </c>
      <c r="C232" t="s">
        <v>519</v>
      </c>
      <c r="D232" t="s">
        <v>533</v>
      </c>
      <c r="E232" t="s">
        <v>570</v>
      </c>
      <c r="F232" t="s">
        <v>573</v>
      </c>
      <c r="G232" t="s">
        <v>580</v>
      </c>
      <c r="H232">
        <v>1</v>
      </c>
      <c r="I232">
        <v>3119.14</v>
      </c>
      <c r="J232">
        <v>0</v>
      </c>
      <c r="K232">
        <v>3119.14</v>
      </c>
      <c r="L232">
        <v>2354.9499999999998</v>
      </c>
      <c r="M232">
        <v>764.19</v>
      </c>
    </row>
    <row r="233" spans="1:13" x14ac:dyDescent="0.3">
      <c r="A233" t="s">
        <v>247</v>
      </c>
      <c r="B233" s="1">
        <v>45773</v>
      </c>
      <c r="C233" t="s">
        <v>520</v>
      </c>
      <c r="D233" t="s">
        <v>528</v>
      </c>
      <c r="E233" t="s">
        <v>547</v>
      </c>
      <c r="F233" t="s">
        <v>572</v>
      </c>
      <c r="G233" t="s">
        <v>583</v>
      </c>
      <c r="H233">
        <v>2</v>
      </c>
      <c r="I233">
        <v>1770.79</v>
      </c>
      <c r="J233">
        <v>0</v>
      </c>
      <c r="K233">
        <v>3541.58</v>
      </c>
      <c r="L233">
        <v>2744.72</v>
      </c>
      <c r="M233">
        <v>796.86</v>
      </c>
    </row>
    <row r="234" spans="1:13" x14ac:dyDescent="0.3">
      <c r="A234" t="s">
        <v>248</v>
      </c>
      <c r="B234" s="1">
        <v>45704</v>
      </c>
      <c r="C234" t="s">
        <v>520</v>
      </c>
      <c r="D234" t="s">
        <v>528</v>
      </c>
      <c r="E234" t="s">
        <v>552</v>
      </c>
      <c r="F234" t="s">
        <v>571</v>
      </c>
      <c r="G234" t="s">
        <v>579</v>
      </c>
      <c r="H234">
        <v>4</v>
      </c>
      <c r="I234">
        <v>46259.9</v>
      </c>
      <c r="J234">
        <v>0</v>
      </c>
      <c r="K234">
        <v>185039.6</v>
      </c>
      <c r="L234">
        <v>155063.18</v>
      </c>
      <c r="M234">
        <v>29976.42</v>
      </c>
    </row>
    <row r="235" spans="1:13" x14ac:dyDescent="0.3">
      <c r="A235" t="s">
        <v>249</v>
      </c>
      <c r="B235" s="1">
        <v>45587</v>
      </c>
      <c r="C235" t="s">
        <v>516</v>
      </c>
      <c r="D235" t="s">
        <v>522</v>
      </c>
      <c r="E235" t="s">
        <v>545</v>
      </c>
      <c r="F235" t="s">
        <v>573</v>
      </c>
      <c r="G235" t="s">
        <v>580</v>
      </c>
      <c r="H235">
        <v>1</v>
      </c>
      <c r="I235">
        <v>20982.16</v>
      </c>
      <c r="J235">
        <v>0</v>
      </c>
      <c r="K235">
        <v>20982.16</v>
      </c>
      <c r="L235">
        <v>14456.71</v>
      </c>
      <c r="M235">
        <v>6525.45</v>
      </c>
    </row>
    <row r="236" spans="1:13" x14ac:dyDescent="0.3">
      <c r="A236" t="s">
        <v>250</v>
      </c>
      <c r="B236" s="1">
        <v>45413</v>
      </c>
      <c r="C236" t="s">
        <v>518</v>
      </c>
      <c r="D236" t="s">
        <v>537</v>
      </c>
      <c r="E236" t="s">
        <v>569</v>
      </c>
      <c r="F236" t="s">
        <v>572</v>
      </c>
      <c r="G236" t="s">
        <v>577</v>
      </c>
      <c r="H236">
        <v>1</v>
      </c>
      <c r="I236">
        <v>1137.77</v>
      </c>
      <c r="J236">
        <v>0</v>
      </c>
      <c r="K236">
        <v>1137.77</v>
      </c>
      <c r="L236">
        <v>752.07</v>
      </c>
      <c r="M236">
        <v>385.7</v>
      </c>
    </row>
    <row r="237" spans="1:13" x14ac:dyDescent="0.3">
      <c r="A237" t="s">
        <v>251</v>
      </c>
      <c r="B237" s="1">
        <v>45439</v>
      </c>
      <c r="C237" t="s">
        <v>518</v>
      </c>
      <c r="D237" t="s">
        <v>524</v>
      </c>
      <c r="E237" t="s">
        <v>541</v>
      </c>
      <c r="F237" t="s">
        <v>573</v>
      </c>
      <c r="G237" t="s">
        <v>582</v>
      </c>
      <c r="H237">
        <v>1</v>
      </c>
      <c r="I237">
        <v>3041.98</v>
      </c>
      <c r="J237">
        <v>0.1</v>
      </c>
      <c r="K237">
        <v>2737.78</v>
      </c>
      <c r="L237">
        <v>1804.2</v>
      </c>
      <c r="M237">
        <v>933.58</v>
      </c>
    </row>
    <row r="238" spans="1:13" x14ac:dyDescent="0.3">
      <c r="A238" t="s">
        <v>252</v>
      </c>
      <c r="B238" s="1">
        <v>45777</v>
      </c>
      <c r="C238" t="s">
        <v>517</v>
      </c>
      <c r="D238" t="s">
        <v>530</v>
      </c>
      <c r="E238" t="s">
        <v>567</v>
      </c>
      <c r="F238" t="s">
        <v>573</v>
      </c>
      <c r="G238" t="s">
        <v>584</v>
      </c>
      <c r="H238">
        <v>1</v>
      </c>
      <c r="I238">
        <v>5214.96</v>
      </c>
      <c r="J238">
        <v>0</v>
      </c>
      <c r="K238">
        <v>5214.96</v>
      </c>
      <c r="L238">
        <v>3561.82</v>
      </c>
      <c r="M238">
        <v>1653.14</v>
      </c>
    </row>
    <row r="239" spans="1:13" x14ac:dyDescent="0.3">
      <c r="A239" t="s">
        <v>253</v>
      </c>
      <c r="B239" s="1">
        <v>45618</v>
      </c>
      <c r="C239" t="s">
        <v>518</v>
      </c>
      <c r="D239" t="s">
        <v>529</v>
      </c>
      <c r="E239" t="s">
        <v>553</v>
      </c>
      <c r="F239" t="s">
        <v>573</v>
      </c>
      <c r="G239" t="s">
        <v>580</v>
      </c>
      <c r="H239">
        <v>1</v>
      </c>
      <c r="I239">
        <v>13668.24</v>
      </c>
      <c r="J239">
        <v>0</v>
      </c>
      <c r="K239">
        <v>13668.24</v>
      </c>
      <c r="L239">
        <v>8911.69</v>
      </c>
      <c r="M239">
        <v>4756.55</v>
      </c>
    </row>
    <row r="240" spans="1:13" x14ac:dyDescent="0.3">
      <c r="A240" t="s">
        <v>254</v>
      </c>
      <c r="B240" s="1">
        <v>45793</v>
      </c>
      <c r="C240" t="s">
        <v>517</v>
      </c>
      <c r="D240" t="s">
        <v>531</v>
      </c>
      <c r="E240" t="s">
        <v>563</v>
      </c>
      <c r="F240" t="s">
        <v>571</v>
      </c>
      <c r="G240" t="s">
        <v>578</v>
      </c>
      <c r="H240">
        <v>1</v>
      </c>
      <c r="I240">
        <v>28505.45</v>
      </c>
      <c r="J240">
        <v>0.1</v>
      </c>
      <c r="K240">
        <v>25654.91</v>
      </c>
      <c r="L240">
        <v>20113.45</v>
      </c>
      <c r="M240">
        <v>5541.46</v>
      </c>
    </row>
    <row r="241" spans="1:13" x14ac:dyDescent="0.3">
      <c r="A241" t="s">
        <v>255</v>
      </c>
      <c r="B241" s="1">
        <v>45889</v>
      </c>
      <c r="C241" t="s">
        <v>520</v>
      </c>
      <c r="D241" t="s">
        <v>528</v>
      </c>
      <c r="E241" t="s">
        <v>552</v>
      </c>
      <c r="F241" t="s">
        <v>572</v>
      </c>
      <c r="G241" t="s">
        <v>587</v>
      </c>
      <c r="H241">
        <v>4</v>
      </c>
      <c r="I241">
        <v>1176.3900000000001</v>
      </c>
      <c r="J241">
        <v>0</v>
      </c>
      <c r="K241">
        <v>4705.5600000000004</v>
      </c>
      <c r="L241">
        <v>3731.51</v>
      </c>
      <c r="M241">
        <v>974.05</v>
      </c>
    </row>
    <row r="242" spans="1:13" x14ac:dyDescent="0.3">
      <c r="A242" t="s">
        <v>256</v>
      </c>
      <c r="B242" s="1">
        <v>45889</v>
      </c>
      <c r="C242" t="s">
        <v>519</v>
      </c>
      <c r="D242" t="s">
        <v>533</v>
      </c>
      <c r="E242" t="s">
        <v>555</v>
      </c>
      <c r="F242" t="s">
        <v>571</v>
      </c>
      <c r="G242" t="s">
        <v>574</v>
      </c>
      <c r="H242">
        <v>1</v>
      </c>
      <c r="I242">
        <v>5430.93</v>
      </c>
      <c r="J242">
        <v>0</v>
      </c>
      <c r="K242">
        <v>5430.93</v>
      </c>
      <c r="L242">
        <v>4024.32</v>
      </c>
      <c r="M242">
        <v>1406.61</v>
      </c>
    </row>
    <row r="243" spans="1:13" x14ac:dyDescent="0.3">
      <c r="A243" t="s">
        <v>257</v>
      </c>
      <c r="B243" s="1">
        <v>45404</v>
      </c>
      <c r="C243" t="s">
        <v>518</v>
      </c>
      <c r="D243" t="s">
        <v>537</v>
      </c>
      <c r="E243" t="s">
        <v>569</v>
      </c>
      <c r="F243" t="s">
        <v>572</v>
      </c>
      <c r="G243" t="s">
        <v>586</v>
      </c>
      <c r="H243">
        <v>1</v>
      </c>
      <c r="I243">
        <v>345.29</v>
      </c>
      <c r="J243">
        <v>0</v>
      </c>
      <c r="K243">
        <v>345.29</v>
      </c>
      <c r="L243">
        <v>263.11</v>
      </c>
      <c r="M243">
        <v>82.18</v>
      </c>
    </row>
    <row r="244" spans="1:13" x14ac:dyDescent="0.3">
      <c r="A244" t="s">
        <v>258</v>
      </c>
      <c r="B244" s="1">
        <v>45712</v>
      </c>
      <c r="C244" t="s">
        <v>517</v>
      </c>
      <c r="D244" t="s">
        <v>530</v>
      </c>
      <c r="E244" t="s">
        <v>567</v>
      </c>
      <c r="F244" t="s">
        <v>573</v>
      </c>
      <c r="G244" t="s">
        <v>585</v>
      </c>
      <c r="H244">
        <v>1</v>
      </c>
      <c r="I244">
        <v>13929.71</v>
      </c>
      <c r="J244">
        <v>0</v>
      </c>
      <c r="K244">
        <v>13929.71</v>
      </c>
      <c r="L244">
        <v>9472.2000000000007</v>
      </c>
      <c r="M244">
        <v>4457.51</v>
      </c>
    </row>
    <row r="245" spans="1:13" x14ac:dyDescent="0.3">
      <c r="A245" t="s">
        <v>259</v>
      </c>
      <c r="B245" s="1">
        <v>45781</v>
      </c>
      <c r="C245" t="s">
        <v>517</v>
      </c>
      <c r="D245" t="s">
        <v>530</v>
      </c>
      <c r="E245" t="s">
        <v>549</v>
      </c>
      <c r="F245" t="s">
        <v>571</v>
      </c>
      <c r="G245" t="s">
        <v>576</v>
      </c>
      <c r="H245">
        <v>1</v>
      </c>
      <c r="I245">
        <v>73233.56</v>
      </c>
      <c r="J245">
        <v>0</v>
      </c>
      <c r="K245">
        <v>73233.56</v>
      </c>
      <c r="L245">
        <v>63420.26</v>
      </c>
      <c r="M245">
        <v>9813.2999999999993</v>
      </c>
    </row>
    <row r="246" spans="1:13" x14ac:dyDescent="0.3">
      <c r="A246" t="s">
        <v>260</v>
      </c>
      <c r="B246" s="1">
        <v>45654</v>
      </c>
      <c r="C246" t="s">
        <v>520</v>
      </c>
      <c r="D246" t="s">
        <v>535</v>
      </c>
      <c r="E246" t="s">
        <v>565</v>
      </c>
      <c r="F246" t="s">
        <v>571</v>
      </c>
      <c r="G246" t="s">
        <v>578</v>
      </c>
      <c r="H246">
        <v>4</v>
      </c>
      <c r="I246">
        <v>45972.67</v>
      </c>
      <c r="J246">
        <v>0</v>
      </c>
      <c r="K246">
        <v>183890.68</v>
      </c>
      <c r="L246">
        <v>125597.33</v>
      </c>
      <c r="M246">
        <v>58293.35</v>
      </c>
    </row>
    <row r="247" spans="1:13" x14ac:dyDescent="0.3">
      <c r="A247" t="s">
        <v>261</v>
      </c>
      <c r="B247" s="1">
        <v>45596</v>
      </c>
      <c r="C247" t="s">
        <v>520</v>
      </c>
      <c r="D247" t="s">
        <v>528</v>
      </c>
      <c r="E247" t="s">
        <v>552</v>
      </c>
      <c r="F247" t="s">
        <v>572</v>
      </c>
      <c r="G247" t="s">
        <v>586</v>
      </c>
      <c r="H247">
        <v>1</v>
      </c>
      <c r="I247">
        <v>730.17</v>
      </c>
      <c r="J247">
        <v>0</v>
      </c>
      <c r="K247">
        <v>730.17</v>
      </c>
      <c r="L247">
        <v>557.85</v>
      </c>
      <c r="M247">
        <v>172.32</v>
      </c>
    </row>
    <row r="248" spans="1:13" x14ac:dyDescent="0.3">
      <c r="A248" t="s">
        <v>262</v>
      </c>
      <c r="B248" s="1">
        <v>45572</v>
      </c>
      <c r="C248" t="s">
        <v>520</v>
      </c>
      <c r="D248" t="s">
        <v>528</v>
      </c>
      <c r="E248" t="s">
        <v>552</v>
      </c>
      <c r="F248" t="s">
        <v>572</v>
      </c>
      <c r="G248" t="s">
        <v>577</v>
      </c>
      <c r="H248">
        <v>1</v>
      </c>
      <c r="I248">
        <v>1911.49</v>
      </c>
      <c r="J248">
        <v>0</v>
      </c>
      <c r="K248">
        <v>1911.49</v>
      </c>
      <c r="L248">
        <v>1708.87</v>
      </c>
      <c r="M248">
        <v>202.62</v>
      </c>
    </row>
    <row r="249" spans="1:13" x14ac:dyDescent="0.3">
      <c r="A249" t="s">
        <v>263</v>
      </c>
      <c r="B249" s="1">
        <v>45589</v>
      </c>
      <c r="C249" t="s">
        <v>516</v>
      </c>
      <c r="D249" t="s">
        <v>521</v>
      </c>
      <c r="E249" t="s">
        <v>538</v>
      </c>
      <c r="F249" t="s">
        <v>572</v>
      </c>
      <c r="G249" t="s">
        <v>586</v>
      </c>
      <c r="H249">
        <v>1</v>
      </c>
      <c r="I249">
        <v>1329.15</v>
      </c>
      <c r="J249">
        <v>0</v>
      </c>
      <c r="K249">
        <v>1329.15</v>
      </c>
      <c r="L249">
        <v>1121.8</v>
      </c>
      <c r="M249">
        <v>207.35</v>
      </c>
    </row>
    <row r="250" spans="1:13" x14ac:dyDescent="0.3">
      <c r="A250" t="s">
        <v>264</v>
      </c>
      <c r="B250" s="1">
        <v>45511</v>
      </c>
      <c r="C250" t="s">
        <v>518</v>
      </c>
      <c r="D250" t="s">
        <v>524</v>
      </c>
      <c r="E250" t="s">
        <v>541</v>
      </c>
      <c r="F250" t="s">
        <v>573</v>
      </c>
      <c r="G250" t="s">
        <v>580</v>
      </c>
      <c r="H250">
        <v>1</v>
      </c>
      <c r="I250">
        <v>5157.28</v>
      </c>
      <c r="J250">
        <v>0</v>
      </c>
      <c r="K250">
        <v>5157.28</v>
      </c>
      <c r="L250">
        <v>4780.8</v>
      </c>
      <c r="M250">
        <v>376.48</v>
      </c>
    </row>
    <row r="251" spans="1:13" x14ac:dyDescent="0.3">
      <c r="A251" t="s">
        <v>265</v>
      </c>
      <c r="B251" s="1">
        <v>45892</v>
      </c>
      <c r="C251" t="s">
        <v>518</v>
      </c>
      <c r="D251" t="s">
        <v>537</v>
      </c>
      <c r="E251" t="s">
        <v>561</v>
      </c>
      <c r="F251" t="s">
        <v>573</v>
      </c>
      <c r="G251" t="s">
        <v>584</v>
      </c>
      <c r="H251">
        <v>5</v>
      </c>
      <c r="I251">
        <v>7190.45</v>
      </c>
      <c r="J251">
        <v>0</v>
      </c>
      <c r="K251">
        <v>35952.25</v>
      </c>
      <c r="L251">
        <v>23512.77</v>
      </c>
      <c r="M251">
        <v>12439.48</v>
      </c>
    </row>
    <row r="252" spans="1:13" x14ac:dyDescent="0.3">
      <c r="A252" t="s">
        <v>266</v>
      </c>
      <c r="B252" s="1">
        <v>45394</v>
      </c>
      <c r="C252" t="s">
        <v>519</v>
      </c>
      <c r="D252" t="s">
        <v>532</v>
      </c>
      <c r="E252" t="s">
        <v>554</v>
      </c>
      <c r="F252" t="s">
        <v>571</v>
      </c>
      <c r="G252" t="s">
        <v>574</v>
      </c>
      <c r="H252">
        <v>2</v>
      </c>
      <c r="I252">
        <v>3398.97</v>
      </c>
      <c r="J252">
        <v>0</v>
      </c>
      <c r="K252">
        <v>6797.94</v>
      </c>
      <c r="L252">
        <v>5363.57</v>
      </c>
      <c r="M252">
        <v>1434.37</v>
      </c>
    </row>
    <row r="253" spans="1:13" x14ac:dyDescent="0.3">
      <c r="A253" t="s">
        <v>267</v>
      </c>
      <c r="B253" s="1">
        <v>45453</v>
      </c>
      <c r="C253" t="s">
        <v>519</v>
      </c>
      <c r="D253" t="s">
        <v>534</v>
      </c>
      <c r="E253" t="s">
        <v>556</v>
      </c>
      <c r="F253" t="s">
        <v>573</v>
      </c>
      <c r="G253" t="s">
        <v>585</v>
      </c>
      <c r="H253">
        <v>1</v>
      </c>
      <c r="I253">
        <v>19385.95</v>
      </c>
      <c r="J253">
        <v>0</v>
      </c>
      <c r="K253">
        <v>19385.95</v>
      </c>
      <c r="L253">
        <v>13686.48</v>
      </c>
      <c r="M253">
        <v>5699.47</v>
      </c>
    </row>
    <row r="254" spans="1:13" x14ac:dyDescent="0.3">
      <c r="A254" t="s">
        <v>268</v>
      </c>
      <c r="B254" s="1">
        <v>45584</v>
      </c>
      <c r="C254" t="s">
        <v>516</v>
      </c>
      <c r="D254" t="s">
        <v>525</v>
      </c>
      <c r="E254" t="s">
        <v>557</v>
      </c>
      <c r="F254" t="s">
        <v>573</v>
      </c>
      <c r="G254" t="s">
        <v>582</v>
      </c>
      <c r="H254">
        <v>2</v>
      </c>
      <c r="I254">
        <v>23004.28</v>
      </c>
      <c r="J254">
        <v>0.05</v>
      </c>
      <c r="K254">
        <v>43708.13</v>
      </c>
      <c r="L254">
        <v>39381.03</v>
      </c>
      <c r="M254">
        <v>4327.1000000000004</v>
      </c>
    </row>
    <row r="255" spans="1:13" x14ac:dyDescent="0.3">
      <c r="A255" t="s">
        <v>269</v>
      </c>
      <c r="B255" s="1">
        <v>45329</v>
      </c>
      <c r="C255" t="s">
        <v>519</v>
      </c>
      <c r="D255" t="s">
        <v>534</v>
      </c>
      <c r="E255" t="s">
        <v>566</v>
      </c>
      <c r="F255" t="s">
        <v>573</v>
      </c>
      <c r="G255" t="s">
        <v>580</v>
      </c>
      <c r="H255">
        <v>3</v>
      </c>
      <c r="I255">
        <v>22165.09</v>
      </c>
      <c r="J255">
        <v>0.15</v>
      </c>
      <c r="K255">
        <v>56520.98</v>
      </c>
      <c r="L255">
        <v>39734.25</v>
      </c>
      <c r="M255">
        <v>16786.73</v>
      </c>
    </row>
    <row r="256" spans="1:13" x14ac:dyDescent="0.3">
      <c r="A256" t="s">
        <v>270</v>
      </c>
      <c r="B256" s="1">
        <v>45401</v>
      </c>
      <c r="C256" t="s">
        <v>520</v>
      </c>
      <c r="D256" t="s">
        <v>535</v>
      </c>
      <c r="E256" t="s">
        <v>559</v>
      </c>
      <c r="F256" t="s">
        <v>573</v>
      </c>
      <c r="G256" t="s">
        <v>584</v>
      </c>
      <c r="H256">
        <v>4</v>
      </c>
      <c r="I256">
        <v>14059.33</v>
      </c>
      <c r="J256">
        <v>0</v>
      </c>
      <c r="K256">
        <v>56237.32</v>
      </c>
      <c r="L256">
        <v>41165.72</v>
      </c>
      <c r="M256">
        <v>15071.6</v>
      </c>
    </row>
    <row r="257" spans="1:13" x14ac:dyDescent="0.3">
      <c r="A257" t="s">
        <v>271</v>
      </c>
      <c r="B257" s="1">
        <v>45429</v>
      </c>
      <c r="C257" t="s">
        <v>517</v>
      </c>
      <c r="D257" t="s">
        <v>530</v>
      </c>
      <c r="E257" t="s">
        <v>549</v>
      </c>
      <c r="F257" t="s">
        <v>571</v>
      </c>
      <c r="G257" t="s">
        <v>575</v>
      </c>
      <c r="H257">
        <v>1</v>
      </c>
      <c r="I257">
        <v>28462.68</v>
      </c>
      <c r="J257">
        <v>0</v>
      </c>
      <c r="K257">
        <v>28462.68</v>
      </c>
      <c r="L257">
        <v>23481.71</v>
      </c>
      <c r="M257">
        <v>4980.97</v>
      </c>
    </row>
    <row r="258" spans="1:13" x14ac:dyDescent="0.3">
      <c r="A258" t="s">
        <v>272</v>
      </c>
      <c r="B258" s="1">
        <v>45555</v>
      </c>
      <c r="C258" t="s">
        <v>518</v>
      </c>
      <c r="D258" t="s">
        <v>537</v>
      </c>
      <c r="E258" t="s">
        <v>569</v>
      </c>
      <c r="F258" t="s">
        <v>572</v>
      </c>
      <c r="G258" t="s">
        <v>587</v>
      </c>
      <c r="H258">
        <v>4</v>
      </c>
      <c r="I258">
        <v>1365.08</v>
      </c>
      <c r="J258">
        <v>0.15</v>
      </c>
      <c r="K258">
        <v>4641.2700000000004</v>
      </c>
      <c r="L258">
        <v>3202.48</v>
      </c>
      <c r="M258">
        <v>1438.79</v>
      </c>
    </row>
    <row r="259" spans="1:13" x14ac:dyDescent="0.3">
      <c r="A259" t="s">
        <v>273</v>
      </c>
      <c r="B259" s="1">
        <v>45707</v>
      </c>
      <c r="C259" t="s">
        <v>519</v>
      </c>
      <c r="D259" t="s">
        <v>532</v>
      </c>
      <c r="E259" t="s">
        <v>564</v>
      </c>
      <c r="F259" t="s">
        <v>572</v>
      </c>
      <c r="G259" t="s">
        <v>588</v>
      </c>
      <c r="H259">
        <v>1</v>
      </c>
      <c r="I259">
        <v>410.32</v>
      </c>
      <c r="J259">
        <v>0.1</v>
      </c>
      <c r="K259">
        <v>369.29</v>
      </c>
      <c r="L259">
        <v>347.87</v>
      </c>
      <c r="M259">
        <v>21.42</v>
      </c>
    </row>
    <row r="260" spans="1:13" x14ac:dyDescent="0.3">
      <c r="A260" t="s">
        <v>274</v>
      </c>
      <c r="B260" s="1">
        <v>45546</v>
      </c>
      <c r="C260" t="s">
        <v>516</v>
      </c>
      <c r="D260" t="s">
        <v>521</v>
      </c>
      <c r="E260" t="s">
        <v>568</v>
      </c>
      <c r="F260" t="s">
        <v>571</v>
      </c>
      <c r="G260" t="s">
        <v>576</v>
      </c>
      <c r="H260">
        <v>1</v>
      </c>
      <c r="I260">
        <v>61039.26</v>
      </c>
      <c r="J260">
        <v>0</v>
      </c>
      <c r="K260">
        <v>61039.26</v>
      </c>
      <c r="L260">
        <v>43154.76</v>
      </c>
      <c r="M260">
        <v>17884.5</v>
      </c>
    </row>
    <row r="261" spans="1:13" x14ac:dyDescent="0.3">
      <c r="A261" t="s">
        <v>275</v>
      </c>
      <c r="B261" s="1">
        <v>45601</v>
      </c>
      <c r="C261" t="s">
        <v>517</v>
      </c>
      <c r="D261" t="s">
        <v>536</v>
      </c>
      <c r="E261" t="s">
        <v>560</v>
      </c>
      <c r="F261" t="s">
        <v>573</v>
      </c>
      <c r="G261" t="s">
        <v>580</v>
      </c>
      <c r="H261">
        <v>5</v>
      </c>
      <c r="I261">
        <v>17933.68</v>
      </c>
      <c r="J261">
        <v>0.05</v>
      </c>
      <c r="K261">
        <v>85184.98</v>
      </c>
      <c r="L261">
        <v>77092.41</v>
      </c>
      <c r="M261">
        <v>8092.57</v>
      </c>
    </row>
    <row r="262" spans="1:13" x14ac:dyDescent="0.3">
      <c r="A262" t="s">
        <v>276</v>
      </c>
      <c r="B262" s="1">
        <v>45768</v>
      </c>
      <c r="C262" t="s">
        <v>520</v>
      </c>
      <c r="D262" t="s">
        <v>528</v>
      </c>
      <c r="E262" t="s">
        <v>552</v>
      </c>
      <c r="F262" t="s">
        <v>573</v>
      </c>
      <c r="G262" t="s">
        <v>584</v>
      </c>
      <c r="H262">
        <v>1</v>
      </c>
      <c r="I262">
        <v>23231.439999999999</v>
      </c>
      <c r="J262">
        <v>0</v>
      </c>
      <c r="K262">
        <v>23231.439999999999</v>
      </c>
      <c r="L262">
        <v>19421.48</v>
      </c>
      <c r="M262">
        <v>3809.96</v>
      </c>
    </row>
    <row r="263" spans="1:13" x14ac:dyDescent="0.3">
      <c r="A263" t="s">
        <v>277</v>
      </c>
      <c r="B263" s="1">
        <v>45610</v>
      </c>
      <c r="C263" t="s">
        <v>516</v>
      </c>
      <c r="D263" t="s">
        <v>521</v>
      </c>
      <c r="E263" t="s">
        <v>568</v>
      </c>
      <c r="F263" t="s">
        <v>573</v>
      </c>
      <c r="G263" t="s">
        <v>585</v>
      </c>
      <c r="H263">
        <v>4</v>
      </c>
      <c r="I263">
        <v>7039.96</v>
      </c>
      <c r="J263">
        <v>0.05</v>
      </c>
      <c r="K263">
        <v>26751.85</v>
      </c>
      <c r="L263">
        <v>18646.04</v>
      </c>
      <c r="M263">
        <v>8105.81</v>
      </c>
    </row>
    <row r="264" spans="1:13" x14ac:dyDescent="0.3">
      <c r="A264" t="s">
        <v>278</v>
      </c>
      <c r="B264" s="1">
        <v>45757</v>
      </c>
      <c r="C264" t="s">
        <v>517</v>
      </c>
      <c r="D264" t="s">
        <v>531</v>
      </c>
      <c r="E264" t="s">
        <v>563</v>
      </c>
      <c r="F264" t="s">
        <v>573</v>
      </c>
      <c r="G264" t="s">
        <v>584</v>
      </c>
      <c r="H264">
        <v>2</v>
      </c>
      <c r="I264">
        <v>22994.33</v>
      </c>
      <c r="J264">
        <v>0</v>
      </c>
      <c r="K264">
        <v>45988.66</v>
      </c>
      <c r="L264">
        <v>37204.83</v>
      </c>
      <c r="M264">
        <v>8783.83</v>
      </c>
    </row>
    <row r="265" spans="1:13" x14ac:dyDescent="0.3">
      <c r="A265" t="s">
        <v>279</v>
      </c>
      <c r="B265" s="1">
        <v>45515</v>
      </c>
      <c r="C265" t="s">
        <v>518</v>
      </c>
      <c r="D265" t="s">
        <v>524</v>
      </c>
      <c r="E265" t="s">
        <v>550</v>
      </c>
      <c r="F265" t="s">
        <v>573</v>
      </c>
      <c r="G265" t="s">
        <v>581</v>
      </c>
      <c r="H265">
        <v>1</v>
      </c>
      <c r="I265">
        <v>14147.98</v>
      </c>
      <c r="J265">
        <v>0</v>
      </c>
      <c r="K265">
        <v>14147.98</v>
      </c>
      <c r="L265">
        <v>12280.45</v>
      </c>
      <c r="M265">
        <v>1867.53</v>
      </c>
    </row>
    <row r="266" spans="1:13" x14ac:dyDescent="0.3">
      <c r="A266" t="s">
        <v>280</v>
      </c>
      <c r="B266" s="1">
        <v>45869</v>
      </c>
      <c r="C266" t="s">
        <v>516</v>
      </c>
      <c r="D266" t="s">
        <v>525</v>
      </c>
      <c r="E266" t="s">
        <v>557</v>
      </c>
      <c r="F266" t="s">
        <v>573</v>
      </c>
      <c r="G266" t="s">
        <v>584</v>
      </c>
      <c r="H266">
        <v>1</v>
      </c>
      <c r="I266">
        <v>5446.6</v>
      </c>
      <c r="J266">
        <v>0</v>
      </c>
      <c r="K266">
        <v>5446.6</v>
      </c>
      <c r="L266">
        <v>3763.6</v>
      </c>
      <c r="M266">
        <v>1683</v>
      </c>
    </row>
    <row r="267" spans="1:13" x14ac:dyDescent="0.3">
      <c r="A267" t="s">
        <v>281</v>
      </c>
      <c r="B267" s="1">
        <v>45824</v>
      </c>
      <c r="C267" t="s">
        <v>519</v>
      </c>
      <c r="D267" t="s">
        <v>526</v>
      </c>
      <c r="E267" t="s">
        <v>562</v>
      </c>
      <c r="F267" t="s">
        <v>573</v>
      </c>
      <c r="G267" t="s">
        <v>584</v>
      </c>
      <c r="H267">
        <v>2</v>
      </c>
      <c r="I267">
        <v>13243.04</v>
      </c>
      <c r="J267">
        <v>0</v>
      </c>
      <c r="K267">
        <v>26486.080000000002</v>
      </c>
      <c r="L267">
        <v>17215.95</v>
      </c>
      <c r="M267">
        <v>9270.1299999999992</v>
      </c>
    </row>
    <row r="268" spans="1:13" x14ac:dyDescent="0.3">
      <c r="A268" t="s">
        <v>282</v>
      </c>
      <c r="B268" s="1">
        <v>45748</v>
      </c>
      <c r="C268" t="s">
        <v>516</v>
      </c>
      <c r="D268" t="s">
        <v>522</v>
      </c>
      <c r="E268" t="s">
        <v>539</v>
      </c>
      <c r="F268" t="s">
        <v>573</v>
      </c>
      <c r="G268" t="s">
        <v>581</v>
      </c>
      <c r="H268">
        <v>5</v>
      </c>
      <c r="I268">
        <v>12506.36</v>
      </c>
      <c r="J268">
        <v>0.1</v>
      </c>
      <c r="K268">
        <v>56278.62</v>
      </c>
      <c r="L268">
        <v>44066.16</v>
      </c>
      <c r="M268">
        <v>12212.46</v>
      </c>
    </row>
    <row r="269" spans="1:13" x14ac:dyDescent="0.3">
      <c r="A269" t="s">
        <v>283</v>
      </c>
      <c r="B269" s="1">
        <v>45607</v>
      </c>
      <c r="C269" t="s">
        <v>516</v>
      </c>
      <c r="D269" t="s">
        <v>522</v>
      </c>
      <c r="E269" t="s">
        <v>545</v>
      </c>
      <c r="F269" t="s">
        <v>571</v>
      </c>
      <c r="G269" t="s">
        <v>574</v>
      </c>
      <c r="H269">
        <v>2</v>
      </c>
      <c r="I269">
        <v>47529.97</v>
      </c>
      <c r="J269">
        <v>0.1</v>
      </c>
      <c r="K269">
        <v>85553.95</v>
      </c>
      <c r="L269">
        <v>57064.480000000003</v>
      </c>
      <c r="M269">
        <v>28489.47</v>
      </c>
    </row>
    <row r="270" spans="1:13" x14ac:dyDescent="0.3">
      <c r="A270" t="s">
        <v>284</v>
      </c>
      <c r="B270" s="1">
        <v>45357</v>
      </c>
      <c r="C270" t="s">
        <v>517</v>
      </c>
      <c r="D270" t="s">
        <v>536</v>
      </c>
      <c r="E270" t="s">
        <v>560</v>
      </c>
      <c r="F270" t="s">
        <v>572</v>
      </c>
      <c r="G270" t="s">
        <v>588</v>
      </c>
      <c r="H270">
        <v>2</v>
      </c>
      <c r="I270">
        <v>609.83000000000004</v>
      </c>
      <c r="J270">
        <v>0.05</v>
      </c>
      <c r="K270">
        <v>1158.68</v>
      </c>
      <c r="L270">
        <v>1015</v>
      </c>
      <c r="M270">
        <v>143.68</v>
      </c>
    </row>
    <row r="271" spans="1:13" x14ac:dyDescent="0.3">
      <c r="A271" t="s">
        <v>285</v>
      </c>
      <c r="B271" s="1">
        <v>45722</v>
      </c>
      <c r="C271" t="s">
        <v>520</v>
      </c>
      <c r="D271" t="s">
        <v>535</v>
      </c>
      <c r="E271" t="s">
        <v>559</v>
      </c>
      <c r="F271" t="s">
        <v>572</v>
      </c>
      <c r="G271" t="s">
        <v>586</v>
      </c>
      <c r="H271">
        <v>1</v>
      </c>
      <c r="I271">
        <v>206.49</v>
      </c>
      <c r="J271">
        <v>0</v>
      </c>
      <c r="K271">
        <v>206.49</v>
      </c>
      <c r="L271">
        <v>188.11</v>
      </c>
      <c r="M271">
        <v>18.38</v>
      </c>
    </row>
    <row r="272" spans="1:13" x14ac:dyDescent="0.3">
      <c r="A272" t="s">
        <v>286</v>
      </c>
      <c r="B272" s="1">
        <v>45844</v>
      </c>
      <c r="C272" t="s">
        <v>518</v>
      </c>
      <c r="D272" t="s">
        <v>524</v>
      </c>
      <c r="E272" t="s">
        <v>541</v>
      </c>
      <c r="F272" t="s">
        <v>571</v>
      </c>
      <c r="G272" t="s">
        <v>574</v>
      </c>
      <c r="H272">
        <v>4</v>
      </c>
      <c r="I272">
        <v>79449.2</v>
      </c>
      <c r="J272">
        <v>0</v>
      </c>
      <c r="K272">
        <v>317796.8</v>
      </c>
      <c r="L272">
        <v>244067.94</v>
      </c>
      <c r="M272">
        <v>73728.86</v>
      </c>
    </row>
    <row r="273" spans="1:13" x14ac:dyDescent="0.3">
      <c r="A273" t="s">
        <v>287</v>
      </c>
      <c r="B273" s="1">
        <v>45422</v>
      </c>
      <c r="C273" t="s">
        <v>518</v>
      </c>
      <c r="D273" t="s">
        <v>537</v>
      </c>
      <c r="E273" t="s">
        <v>561</v>
      </c>
      <c r="F273" t="s">
        <v>572</v>
      </c>
      <c r="G273" t="s">
        <v>586</v>
      </c>
      <c r="H273">
        <v>1</v>
      </c>
      <c r="I273">
        <v>1363.32</v>
      </c>
      <c r="J273">
        <v>0</v>
      </c>
      <c r="K273">
        <v>1363.32</v>
      </c>
      <c r="L273">
        <v>1019.76</v>
      </c>
      <c r="M273">
        <v>343.56</v>
      </c>
    </row>
    <row r="274" spans="1:13" x14ac:dyDescent="0.3">
      <c r="A274" t="s">
        <v>288</v>
      </c>
      <c r="B274" s="1">
        <v>45836</v>
      </c>
      <c r="C274" t="s">
        <v>519</v>
      </c>
      <c r="D274" t="s">
        <v>533</v>
      </c>
      <c r="E274" t="s">
        <v>570</v>
      </c>
      <c r="F274" t="s">
        <v>572</v>
      </c>
      <c r="G274" t="s">
        <v>577</v>
      </c>
      <c r="H274">
        <v>1</v>
      </c>
      <c r="I274">
        <v>352.49</v>
      </c>
      <c r="J274">
        <v>0.15</v>
      </c>
      <c r="K274">
        <v>299.62</v>
      </c>
      <c r="L274">
        <v>252.58</v>
      </c>
      <c r="M274">
        <v>47.04</v>
      </c>
    </row>
    <row r="275" spans="1:13" x14ac:dyDescent="0.3">
      <c r="A275" t="s">
        <v>289</v>
      </c>
      <c r="B275" s="1">
        <v>45407</v>
      </c>
      <c r="C275" t="s">
        <v>516</v>
      </c>
      <c r="D275" t="s">
        <v>522</v>
      </c>
      <c r="E275" t="s">
        <v>539</v>
      </c>
      <c r="F275" t="s">
        <v>571</v>
      </c>
      <c r="G275" t="s">
        <v>574</v>
      </c>
      <c r="H275">
        <v>1</v>
      </c>
      <c r="I275">
        <v>8181.4</v>
      </c>
      <c r="J275">
        <v>0</v>
      </c>
      <c r="K275">
        <v>8181.4</v>
      </c>
      <c r="L275">
        <v>6127.87</v>
      </c>
      <c r="M275">
        <v>2053.5300000000002</v>
      </c>
    </row>
    <row r="276" spans="1:13" x14ac:dyDescent="0.3">
      <c r="A276" t="s">
        <v>290</v>
      </c>
      <c r="B276" s="1">
        <v>45749</v>
      </c>
      <c r="C276" t="s">
        <v>517</v>
      </c>
      <c r="D276" t="s">
        <v>536</v>
      </c>
      <c r="E276" t="s">
        <v>560</v>
      </c>
      <c r="F276" t="s">
        <v>573</v>
      </c>
      <c r="G276" t="s">
        <v>582</v>
      </c>
      <c r="H276">
        <v>1</v>
      </c>
      <c r="I276">
        <v>11252.1</v>
      </c>
      <c r="J276">
        <v>0</v>
      </c>
      <c r="K276">
        <v>11252.1</v>
      </c>
      <c r="L276">
        <v>8079.01</v>
      </c>
      <c r="M276">
        <v>3173.09</v>
      </c>
    </row>
    <row r="277" spans="1:13" x14ac:dyDescent="0.3">
      <c r="A277" t="s">
        <v>291</v>
      </c>
      <c r="B277" s="1">
        <v>45514</v>
      </c>
      <c r="C277" t="s">
        <v>516</v>
      </c>
      <c r="D277" t="s">
        <v>527</v>
      </c>
      <c r="E277" t="s">
        <v>558</v>
      </c>
      <c r="F277" t="s">
        <v>571</v>
      </c>
      <c r="G277" t="s">
        <v>579</v>
      </c>
      <c r="H277">
        <v>1</v>
      </c>
      <c r="I277">
        <v>27555.58</v>
      </c>
      <c r="J277">
        <v>0</v>
      </c>
      <c r="K277">
        <v>27555.58</v>
      </c>
      <c r="L277">
        <v>19123.57</v>
      </c>
      <c r="M277">
        <v>8432.01</v>
      </c>
    </row>
    <row r="278" spans="1:13" x14ac:dyDescent="0.3">
      <c r="A278" t="s">
        <v>292</v>
      </c>
      <c r="B278" s="1">
        <v>45620</v>
      </c>
      <c r="C278" t="s">
        <v>518</v>
      </c>
      <c r="D278" t="s">
        <v>529</v>
      </c>
      <c r="E278" t="s">
        <v>548</v>
      </c>
      <c r="F278" t="s">
        <v>573</v>
      </c>
      <c r="G278" t="s">
        <v>584</v>
      </c>
      <c r="H278">
        <v>1</v>
      </c>
      <c r="I278">
        <v>7083.98</v>
      </c>
      <c r="J278">
        <v>0</v>
      </c>
      <c r="K278">
        <v>7083.98</v>
      </c>
      <c r="L278">
        <v>5539.67</v>
      </c>
      <c r="M278">
        <v>1544.31</v>
      </c>
    </row>
    <row r="279" spans="1:13" x14ac:dyDescent="0.3">
      <c r="A279" t="s">
        <v>293</v>
      </c>
      <c r="B279" s="1">
        <v>45354</v>
      </c>
      <c r="C279" t="s">
        <v>517</v>
      </c>
      <c r="D279" t="s">
        <v>523</v>
      </c>
      <c r="E279" t="s">
        <v>540</v>
      </c>
      <c r="F279" t="s">
        <v>573</v>
      </c>
      <c r="G279" t="s">
        <v>581</v>
      </c>
      <c r="H279">
        <v>3</v>
      </c>
      <c r="I279">
        <v>3078.33</v>
      </c>
      <c r="J279">
        <v>0</v>
      </c>
      <c r="K279">
        <v>9234.99</v>
      </c>
      <c r="L279">
        <v>7655.81</v>
      </c>
      <c r="M279">
        <v>1579.18</v>
      </c>
    </row>
    <row r="280" spans="1:13" x14ac:dyDescent="0.3">
      <c r="A280" t="s">
        <v>294</v>
      </c>
      <c r="B280" s="1">
        <v>45682</v>
      </c>
      <c r="C280" t="s">
        <v>517</v>
      </c>
      <c r="D280" t="s">
        <v>531</v>
      </c>
      <c r="E280" t="s">
        <v>563</v>
      </c>
      <c r="F280" t="s">
        <v>572</v>
      </c>
      <c r="G280" t="s">
        <v>583</v>
      </c>
      <c r="H280">
        <v>1</v>
      </c>
      <c r="I280">
        <v>634.78</v>
      </c>
      <c r="J280">
        <v>0.15</v>
      </c>
      <c r="K280">
        <v>539.55999999999995</v>
      </c>
      <c r="L280">
        <v>507.73</v>
      </c>
      <c r="M280">
        <v>31.83</v>
      </c>
    </row>
    <row r="281" spans="1:13" x14ac:dyDescent="0.3">
      <c r="A281" t="s">
        <v>295</v>
      </c>
      <c r="B281" s="1">
        <v>45776</v>
      </c>
      <c r="C281" t="s">
        <v>518</v>
      </c>
      <c r="D281" t="s">
        <v>537</v>
      </c>
      <c r="E281" t="s">
        <v>569</v>
      </c>
      <c r="F281" t="s">
        <v>573</v>
      </c>
      <c r="G281" t="s">
        <v>585</v>
      </c>
      <c r="H281">
        <v>2</v>
      </c>
      <c r="I281">
        <v>20532.849999999999</v>
      </c>
      <c r="J281">
        <v>0</v>
      </c>
      <c r="K281">
        <v>41065.699999999997</v>
      </c>
      <c r="L281">
        <v>31374.19</v>
      </c>
      <c r="M281">
        <v>9691.51</v>
      </c>
    </row>
    <row r="282" spans="1:13" x14ac:dyDescent="0.3">
      <c r="A282" t="s">
        <v>296</v>
      </c>
      <c r="B282" s="1">
        <v>45867</v>
      </c>
      <c r="C282" t="s">
        <v>519</v>
      </c>
      <c r="D282" t="s">
        <v>534</v>
      </c>
      <c r="E282" t="s">
        <v>566</v>
      </c>
      <c r="F282" t="s">
        <v>572</v>
      </c>
      <c r="G282" t="s">
        <v>583</v>
      </c>
      <c r="H282">
        <v>2</v>
      </c>
      <c r="I282">
        <v>547.24</v>
      </c>
      <c r="J282">
        <v>0</v>
      </c>
      <c r="K282">
        <v>1094.48</v>
      </c>
      <c r="L282">
        <v>969.71</v>
      </c>
      <c r="M282">
        <v>124.77</v>
      </c>
    </row>
    <row r="283" spans="1:13" x14ac:dyDescent="0.3">
      <c r="A283" t="s">
        <v>297</v>
      </c>
      <c r="B283" s="1">
        <v>45372</v>
      </c>
      <c r="C283" t="s">
        <v>519</v>
      </c>
      <c r="D283" t="s">
        <v>532</v>
      </c>
      <c r="E283" t="s">
        <v>564</v>
      </c>
      <c r="F283" t="s">
        <v>573</v>
      </c>
      <c r="G283" t="s">
        <v>585</v>
      </c>
      <c r="H283">
        <v>1</v>
      </c>
      <c r="I283">
        <v>3185.34</v>
      </c>
      <c r="J283">
        <v>0</v>
      </c>
      <c r="K283">
        <v>3185.34</v>
      </c>
      <c r="L283">
        <v>3013.33</v>
      </c>
      <c r="M283">
        <v>172.01</v>
      </c>
    </row>
    <row r="284" spans="1:13" x14ac:dyDescent="0.3">
      <c r="A284" t="s">
        <v>298</v>
      </c>
      <c r="B284" s="1">
        <v>45332</v>
      </c>
      <c r="C284" t="s">
        <v>516</v>
      </c>
      <c r="D284" t="s">
        <v>527</v>
      </c>
      <c r="E284" t="s">
        <v>546</v>
      </c>
      <c r="F284" t="s">
        <v>572</v>
      </c>
      <c r="G284" t="s">
        <v>583</v>
      </c>
      <c r="H284">
        <v>1</v>
      </c>
      <c r="I284">
        <v>1745.47</v>
      </c>
      <c r="J284">
        <v>0</v>
      </c>
      <c r="K284">
        <v>1745.47</v>
      </c>
      <c r="L284">
        <v>1349.25</v>
      </c>
      <c r="M284">
        <v>396.22</v>
      </c>
    </row>
    <row r="285" spans="1:13" x14ac:dyDescent="0.3">
      <c r="A285" t="s">
        <v>299</v>
      </c>
      <c r="B285" s="1">
        <v>45307</v>
      </c>
      <c r="C285" t="s">
        <v>518</v>
      </c>
      <c r="D285" t="s">
        <v>537</v>
      </c>
      <c r="E285" t="s">
        <v>561</v>
      </c>
      <c r="F285" t="s">
        <v>573</v>
      </c>
      <c r="G285" t="s">
        <v>581</v>
      </c>
      <c r="H285">
        <v>1</v>
      </c>
      <c r="I285">
        <v>23032.15</v>
      </c>
      <c r="J285">
        <v>0</v>
      </c>
      <c r="K285">
        <v>23032.15</v>
      </c>
      <c r="L285">
        <v>18863.330000000002</v>
      </c>
      <c r="M285">
        <v>4168.82</v>
      </c>
    </row>
    <row r="286" spans="1:13" x14ac:dyDescent="0.3">
      <c r="A286" t="s">
        <v>300</v>
      </c>
      <c r="B286" s="1">
        <v>45501</v>
      </c>
      <c r="C286" t="s">
        <v>519</v>
      </c>
      <c r="D286" t="s">
        <v>533</v>
      </c>
      <c r="E286" t="s">
        <v>555</v>
      </c>
      <c r="F286" t="s">
        <v>572</v>
      </c>
      <c r="G286" t="s">
        <v>586</v>
      </c>
      <c r="H286">
        <v>3</v>
      </c>
      <c r="I286">
        <v>959.19</v>
      </c>
      <c r="J286">
        <v>0</v>
      </c>
      <c r="K286">
        <v>2877.57</v>
      </c>
      <c r="L286">
        <v>2434.42</v>
      </c>
      <c r="M286">
        <v>443.15</v>
      </c>
    </row>
    <row r="287" spans="1:13" x14ac:dyDescent="0.3">
      <c r="A287" t="s">
        <v>301</v>
      </c>
      <c r="B287" s="1">
        <v>45607</v>
      </c>
      <c r="C287" t="s">
        <v>520</v>
      </c>
      <c r="D287" t="s">
        <v>535</v>
      </c>
      <c r="E287" t="s">
        <v>559</v>
      </c>
      <c r="F287" t="s">
        <v>572</v>
      </c>
      <c r="G287" t="s">
        <v>588</v>
      </c>
      <c r="H287">
        <v>1</v>
      </c>
      <c r="I287">
        <v>1615.49</v>
      </c>
      <c r="J287">
        <v>0</v>
      </c>
      <c r="K287">
        <v>1615.49</v>
      </c>
      <c r="L287">
        <v>1155.08</v>
      </c>
      <c r="M287">
        <v>460.41</v>
      </c>
    </row>
    <row r="288" spans="1:13" x14ac:dyDescent="0.3">
      <c r="A288" t="s">
        <v>302</v>
      </c>
      <c r="B288" s="1">
        <v>45619</v>
      </c>
      <c r="C288" t="s">
        <v>518</v>
      </c>
      <c r="D288" t="s">
        <v>529</v>
      </c>
      <c r="E288" t="s">
        <v>553</v>
      </c>
      <c r="F288" t="s">
        <v>572</v>
      </c>
      <c r="G288" t="s">
        <v>588</v>
      </c>
      <c r="H288">
        <v>1</v>
      </c>
      <c r="I288">
        <v>1146.92</v>
      </c>
      <c r="J288">
        <v>0</v>
      </c>
      <c r="K288">
        <v>1146.92</v>
      </c>
      <c r="L288">
        <v>875.1</v>
      </c>
      <c r="M288">
        <v>271.82</v>
      </c>
    </row>
    <row r="289" spans="1:13" x14ac:dyDescent="0.3">
      <c r="A289" t="s">
        <v>303</v>
      </c>
      <c r="B289" s="1">
        <v>45441</v>
      </c>
      <c r="C289" t="s">
        <v>516</v>
      </c>
      <c r="D289" t="s">
        <v>521</v>
      </c>
      <c r="E289" t="s">
        <v>568</v>
      </c>
      <c r="F289" t="s">
        <v>572</v>
      </c>
      <c r="G289" t="s">
        <v>583</v>
      </c>
      <c r="H289">
        <v>3</v>
      </c>
      <c r="I289">
        <v>432.57</v>
      </c>
      <c r="J289">
        <v>0</v>
      </c>
      <c r="K289">
        <v>1297.71</v>
      </c>
      <c r="L289">
        <v>862.98</v>
      </c>
      <c r="M289">
        <v>434.73</v>
      </c>
    </row>
    <row r="290" spans="1:13" x14ac:dyDescent="0.3">
      <c r="A290" t="s">
        <v>304</v>
      </c>
      <c r="B290" s="1">
        <v>45875</v>
      </c>
      <c r="C290" t="s">
        <v>518</v>
      </c>
      <c r="D290" t="s">
        <v>529</v>
      </c>
      <c r="E290" t="s">
        <v>553</v>
      </c>
      <c r="F290" t="s">
        <v>572</v>
      </c>
      <c r="G290" t="s">
        <v>586</v>
      </c>
      <c r="H290">
        <v>1</v>
      </c>
      <c r="I290">
        <v>1934.69</v>
      </c>
      <c r="J290">
        <v>0</v>
      </c>
      <c r="K290">
        <v>1934.69</v>
      </c>
      <c r="L290">
        <v>1300.1099999999999</v>
      </c>
      <c r="M290">
        <v>634.58000000000004</v>
      </c>
    </row>
    <row r="291" spans="1:13" x14ac:dyDescent="0.3">
      <c r="A291" t="s">
        <v>305</v>
      </c>
      <c r="B291" s="1">
        <v>45794</v>
      </c>
      <c r="C291" t="s">
        <v>519</v>
      </c>
      <c r="D291" t="s">
        <v>533</v>
      </c>
      <c r="E291" t="s">
        <v>555</v>
      </c>
      <c r="F291" t="s">
        <v>571</v>
      </c>
      <c r="G291" t="s">
        <v>574</v>
      </c>
      <c r="H291">
        <v>1</v>
      </c>
      <c r="I291">
        <v>58464.14</v>
      </c>
      <c r="J291">
        <v>0</v>
      </c>
      <c r="K291">
        <v>58464.14</v>
      </c>
      <c r="L291">
        <v>51039.19</v>
      </c>
      <c r="M291">
        <v>7424.95</v>
      </c>
    </row>
    <row r="292" spans="1:13" x14ac:dyDescent="0.3">
      <c r="A292" t="s">
        <v>306</v>
      </c>
      <c r="B292" s="1">
        <v>45847</v>
      </c>
      <c r="C292" t="s">
        <v>516</v>
      </c>
      <c r="D292" t="s">
        <v>525</v>
      </c>
      <c r="E292" t="s">
        <v>557</v>
      </c>
      <c r="F292" t="s">
        <v>573</v>
      </c>
      <c r="G292" t="s">
        <v>582</v>
      </c>
      <c r="H292">
        <v>1</v>
      </c>
      <c r="I292">
        <v>19579.79</v>
      </c>
      <c r="J292">
        <v>0</v>
      </c>
      <c r="K292">
        <v>19579.79</v>
      </c>
      <c r="L292">
        <v>12844.34</v>
      </c>
      <c r="M292">
        <v>6735.45</v>
      </c>
    </row>
    <row r="293" spans="1:13" x14ac:dyDescent="0.3">
      <c r="A293" t="s">
        <v>307</v>
      </c>
      <c r="B293" s="1">
        <v>45528</v>
      </c>
      <c r="C293" t="s">
        <v>516</v>
      </c>
      <c r="D293" t="s">
        <v>527</v>
      </c>
      <c r="E293" t="s">
        <v>546</v>
      </c>
      <c r="F293" t="s">
        <v>571</v>
      </c>
      <c r="G293" t="s">
        <v>579</v>
      </c>
      <c r="H293">
        <v>1</v>
      </c>
      <c r="I293">
        <v>38112.74</v>
      </c>
      <c r="J293">
        <v>0.15</v>
      </c>
      <c r="K293">
        <v>32395.83</v>
      </c>
      <c r="L293">
        <v>27568.85</v>
      </c>
      <c r="M293">
        <v>4826.9799999999996</v>
      </c>
    </row>
    <row r="294" spans="1:13" x14ac:dyDescent="0.3">
      <c r="A294" t="s">
        <v>308</v>
      </c>
      <c r="B294" s="1">
        <v>45786</v>
      </c>
      <c r="C294" t="s">
        <v>519</v>
      </c>
      <c r="D294" t="s">
        <v>526</v>
      </c>
      <c r="E294" t="s">
        <v>562</v>
      </c>
      <c r="F294" t="s">
        <v>573</v>
      </c>
      <c r="G294" t="s">
        <v>584</v>
      </c>
      <c r="H294">
        <v>1</v>
      </c>
      <c r="I294">
        <v>11460.79</v>
      </c>
      <c r="J294">
        <v>0.15</v>
      </c>
      <c r="K294">
        <v>9741.67</v>
      </c>
      <c r="L294">
        <v>8553.19</v>
      </c>
      <c r="M294">
        <v>1188.48</v>
      </c>
    </row>
    <row r="295" spans="1:13" x14ac:dyDescent="0.3">
      <c r="A295" t="s">
        <v>309</v>
      </c>
      <c r="B295" s="1">
        <v>45573</v>
      </c>
      <c r="C295" t="s">
        <v>517</v>
      </c>
      <c r="D295" t="s">
        <v>531</v>
      </c>
      <c r="E295" t="s">
        <v>551</v>
      </c>
      <c r="F295" t="s">
        <v>573</v>
      </c>
      <c r="G295" t="s">
        <v>581</v>
      </c>
      <c r="H295">
        <v>1</v>
      </c>
      <c r="I295">
        <v>20541.86</v>
      </c>
      <c r="J295">
        <v>0</v>
      </c>
      <c r="K295">
        <v>20541.86</v>
      </c>
      <c r="L295">
        <v>18713.63</v>
      </c>
      <c r="M295">
        <v>1828.23</v>
      </c>
    </row>
    <row r="296" spans="1:13" x14ac:dyDescent="0.3">
      <c r="A296" t="s">
        <v>310</v>
      </c>
      <c r="B296" s="1">
        <v>45401</v>
      </c>
      <c r="C296" t="s">
        <v>516</v>
      </c>
      <c r="D296" t="s">
        <v>527</v>
      </c>
      <c r="E296" t="s">
        <v>546</v>
      </c>
      <c r="F296" t="s">
        <v>571</v>
      </c>
      <c r="G296" t="s">
        <v>579</v>
      </c>
      <c r="H296">
        <v>1</v>
      </c>
      <c r="I296">
        <v>43537.11</v>
      </c>
      <c r="J296">
        <v>0</v>
      </c>
      <c r="K296">
        <v>43537.11</v>
      </c>
      <c r="L296">
        <v>39357.550000000003</v>
      </c>
      <c r="M296">
        <v>4179.5600000000004</v>
      </c>
    </row>
    <row r="297" spans="1:13" x14ac:dyDescent="0.3">
      <c r="A297" t="s">
        <v>311</v>
      </c>
      <c r="B297" s="1">
        <v>45565</v>
      </c>
      <c r="C297" t="s">
        <v>519</v>
      </c>
      <c r="D297" t="s">
        <v>526</v>
      </c>
      <c r="E297" t="s">
        <v>543</v>
      </c>
      <c r="F297" t="s">
        <v>572</v>
      </c>
      <c r="G297" t="s">
        <v>586</v>
      </c>
      <c r="H297">
        <v>1</v>
      </c>
      <c r="I297">
        <v>1151.75</v>
      </c>
      <c r="J297">
        <v>0</v>
      </c>
      <c r="K297">
        <v>1151.75</v>
      </c>
      <c r="L297">
        <v>873.03</v>
      </c>
      <c r="M297">
        <v>278.72000000000003</v>
      </c>
    </row>
    <row r="298" spans="1:13" x14ac:dyDescent="0.3">
      <c r="A298" t="s">
        <v>312</v>
      </c>
      <c r="B298" s="1">
        <v>45523</v>
      </c>
      <c r="C298" t="s">
        <v>520</v>
      </c>
      <c r="D298" t="s">
        <v>528</v>
      </c>
      <c r="E298" t="s">
        <v>547</v>
      </c>
      <c r="F298" t="s">
        <v>571</v>
      </c>
      <c r="G298" t="s">
        <v>576</v>
      </c>
      <c r="H298">
        <v>1</v>
      </c>
      <c r="I298">
        <v>32203.33</v>
      </c>
      <c r="J298">
        <v>0</v>
      </c>
      <c r="K298">
        <v>32203.33</v>
      </c>
      <c r="L298">
        <v>27244.02</v>
      </c>
      <c r="M298">
        <v>4959.3100000000004</v>
      </c>
    </row>
    <row r="299" spans="1:13" x14ac:dyDescent="0.3">
      <c r="A299" t="s">
        <v>313</v>
      </c>
      <c r="B299" s="1">
        <v>45349</v>
      </c>
      <c r="C299" t="s">
        <v>516</v>
      </c>
      <c r="D299" t="s">
        <v>527</v>
      </c>
      <c r="E299" t="s">
        <v>546</v>
      </c>
      <c r="F299" t="s">
        <v>572</v>
      </c>
      <c r="G299" t="s">
        <v>586</v>
      </c>
      <c r="H299">
        <v>3</v>
      </c>
      <c r="I299">
        <v>1307.57</v>
      </c>
      <c r="J299">
        <v>0</v>
      </c>
      <c r="K299">
        <v>3922.71</v>
      </c>
      <c r="L299">
        <v>3169.55</v>
      </c>
      <c r="M299">
        <v>753.16</v>
      </c>
    </row>
    <row r="300" spans="1:13" x14ac:dyDescent="0.3">
      <c r="A300" t="s">
        <v>314</v>
      </c>
      <c r="B300" s="1">
        <v>45389</v>
      </c>
      <c r="C300" t="s">
        <v>517</v>
      </c>
      <c r="D300" t="s">
        <v>536</v>
      </c>
      <c r="E300" t="s">
        <v>560</v>
      </c>
      <c r="F300" t="s">
        <v>571</v>
      </c>
      <c r="G300" t="s">
        <v>579</v>
      </c>
      <c r="H300">
        <v>2</v>
      </c>
      <c r="I300">
        <v>39613.519999999997</v>
      </c>
      <c r="J300">
        <v>0.05</v>
      </c>
      <c r="K300">
        <v>75265.69</v>
      </c>
      <c r="L300">
        <v>67588.59</v>
      </c>
      <c r="M300">
        <v>7677.1</v>
      </c>
    </row>
    <row r="301" spans="1:13" x14ac:dyDescent="0.3">
      <c r="A301" t="s">
        <v>315</v>
      </c>
      <c r="B301" s="1">
        <v>45579</v>
      </c>
      <c r="C301" t="s">
        <v>517</v>
      </c>
      <c r="D301" t="s">
        <v>536</v>
      </c>
      <c r="E301" t="s">
        <v>560</v>
      </c>
      <c r="F301" t="s">
        <v>572</v>
      </c>
      <c r="G301" t="s">
        <v>588</v>
      </c>
      <c r="H301">
        <v>1</v>
      </c>
      <c r="I301">
        <v>1924.86</v>
      </c>
      <c r="J301">
        <v>0</v>
      </c>
      <c r="K301">
        <v>1924.86</v>
      </c>
      <c r="L301">
        <v>1805.52</v>
      </c>
      <c r="M301">
        <v>119.34</v>
      </c>
    </row>
    <row r="302" spans="1:13" x14ac:dyDescent="0.3">
      <c r="A302" t="s">
        <v>316</v>
      </c>
      <c r="B302" s="1">
        <v>45699</v>
      </c>
      <c r="C302" t="s">
        <v>516</v>
      </c>
      <c r="D302" t="s">
        <v>521</v>
      </c>
      <c r="E302" t="s">
        <v>538</v>
      </c>
      <c r="F302" t="s">
        <v>573</v>
      </c>
      <c r="G302" t="s">
        <v>585</v>
      </c>
      <c r="H302">
        <v>1</v>
      </c>
      <c r="I302">
        <v>15034.01</v>
      </c>
      <c r="J302">
        <v>0</v>
      </c>
      <c r="K302">
        <v>15034.01</v>
      </c>
      <c r="L302">
        <v>13019.45</v>
      </c>
      <c r="M302">
        <v>2014.56</v>
      </c>
    </row>
    <row r="303" spans="1:13" x14ac:dyDescent="0.3">
      <c r="A303" t="s">
        <v>317</v>
      </c>
      <c r="B303" s="1">
        <v>45845</v>
      </c>
      <c r="C303" t="s">
        <v>520</v>
      </c>
      <c r="D303" t="s">
        <v>535</v>
      </c>
      <c r="E303" t="s">
        <v>565</v>
      </c>
      <c r="F303" t="s">
        <v>573</v>
      </c>
      <c r="G303" t="s">
        <v>582</v>
      </c>
      <c r="H303">
        <v>1</v>
      </c>
      <c r="I303">
        <v>13518.24</v>
      </c>
      <c r="J303">
        <v>0</v>
      </c>
      <c r="K303">
        <v>13518.24</v>
      </c>
      <c r="L303">
        <v>12477.34</v>
      </c>
      <c r="M303">
        <v>1040.9000000000001</v>
      </c>
    </row>
    <row r="304" spans="1:13" x14ac:dyDescent="0.3">
      <c r="A304" t="s">
        <v>318</v>
      </c>
      <c r="B304" s="1">
        <v>45346</v>
      </c>
      <c r="C304" t="s">
        <v>516</v>
      </c>
      <c r="D304" t="s">
        <v>522</v>
      </c>
      <c r="E304" t="s">
        <v>539</v>
      </c>
      <c r="F304" t="s">
        <v>571</v>
      </c>
      <c r="G304" t="s">
        <v>578</v>
      </c>
      <c r="H304">
        <v>1</v>
      </c>
      <c r="I304">
        <v>49597.99</v>
      </c>
      <c r="J304">
        <v>0</v>
      </c>
      <c r="K304">
        <v>49597.99</v>
      </c>
      <c r="L304">
        <v>40273.57</v>
      </c>
      <c r="M304">
        <v>9324.42</v>
      </c>
    </row>
    <row r="305" spans="1:13" x14ac:dyDescent="0.3">
      <c r="A305" t="s">
        <v>319</v>
      </c>
      <c r="B305" s="1">
        <v>45698</v>
      </c>
      <c r="C305" t="s">
        <v>520</v>
      </c>
      <c r="D305" t="s">
        <v>528</v>
      </c>
      <c r="E305" t="s">
        <v>552</v>
      </c>
      <c r="F305" t="s">
        <v>572</v>
      </c>
      <c r="G305" t="s">
        <v>586</v>
      </c>
      <c r="H305">
        <v>1</v>
      </c>
      <c r="I305">
        <v>494.87</v>
      </c>
      <c r="J305">
        <v>0</v>
      </c>
      <c r="K305">
        <v>494.87</v>
      </c>
      <c r="L305">
        <v>416.19</v>
      </c>
      <c r="M305">
        <v>78.680000000000007</v>
      </c>
    </row>
    <row r="306" spans="1:13" x14ac:dyDescent="0.3">
      <c r="A306" t="s">
        <v>320</v>
      </c>
      <c r="B306" s="1">
        <v>45676</v>
      </c>
      <c r="C306" t="s">
        <v>519</v>
      </c>
      <c r="D306" t="s">
        <v>533</v>
      </c>
      <c r="E306" t="s">
        <v>555</v>
      </c>
      <c r="F306" t="s">
        <v>571</v>
      </c>
      <c r="G306" t="s">
        <v>579</v>
      </c>
      <c r="H306">
        <v>1</v>
      </c>
      <c r="I306">
        <v>25744.22</v>
      </c>
      <c r="J306">
        <v>0</v>
      </c>
      <c r="K306">
        <v>25744.22</v>
      </c>
      <c r="L306">
        <v>19127.96</v>
      </c>
      <c r="M306">
        <v>6616.26</v>
      </c>
    </row>
    <row r="307" spans="1:13" x14ac:dyDescent="0.3">
      <c r="A307" t="s">
        <v>321</v>
      </c>
      <c r="B307" s="1">
        <v>45367</v>
      </c>
      <c r="C307" t="s">
        <v>516</v>
      </c>
      <c r="D307" t="s">
        <v>521</v>
      </c>
      <c r="E307" t="s">
        <v>538</v>
      </c>
      <c r="F307" t="s">
        <v>572</v>
      </c>
      <c r="G307" t="s">
        <v>583</v>
      </c>
      <c r="H307">
        <v>1</v>
      </c>
      <c r="I307">
        <v>1492.33</v>
      </c>
      <c r="J307">
        <v>0</v>
      </c>
      <c r="K307">
        <v>1492.33</v>
      </c>
      <c r="L307">
        <v>1059.55</v>
      </c>
      <c r="M307">
        <v>432.78</v>
      </c>
    </row>
    <row r="308" spans="1:13" x14ac:dyDescent="0.3">
      <c r="A308" t="s">
        <v>322</v>
      </c>
      <c r="B308" s="1">
        <v>45401</v>
      </c>
      <c r="C308" t="s">
        <v>516</v>
      </c>
      <c r="D308" t="s">
        <v>525</v>
      </c>
      <c r="E308" t="s">
        <v>542</v>
      </c>
      <c r="F308" t="s">
        <v>572</v>
      </c>
      <c r="G308" t="s">
        <v>577</v>
      </c>
      <c r="H308">
        <v>1</v>
      </c>
      <c r="I308">
        <v>1534.63</v>
      </c>
      <c r="J308">
        <v>0.05</v>
      </c>
      <c r="K308">
        <v>1457.9</v>
      </c>
      <c r="L308">
        <v>1348.56</v>
      </c>
      <c r="M308">
        <v>109.34</v>
      </c>
    </row>
    <row r="309" spans="1:13" x14ac:dyDescent="0.3">
      <c r="A309" t="s">
        <v>323</v>
      </c>
      <c r="B309" s="1">
        <v>45483</v>
      </c>
      <c r="C309" t="s">
        <v>519</v>
      </c>
      <c r="D309" t="s">
        <v>534</v>
      </c>
      <c r="E309" t="s">
        <v>556</v>
      </c>
      <c r="F309" t="s">
        <v>571</v>
      </c>
      <c r="G309" t="s">
        <v>575</v>
      </c>
      <c r="H309">
        <v>3</v>
      </c>
      <c r="I309">
        <v>9900.65</v>
      </c>
      <c r="J309">
        <v>0</v>
      </c>
      <c r="K309">
        <v>29701.95</v>
      </c>
      <c r="L309">
        <v>20019.11</v>
      </c>
      <c r="M309">
        <v>9682.84</v>
      </c>
    </row>
    <row r="310" spans="1:13" x14ac:dyDescent="0.3">
      <c r="A310" t="s">
        <v>324</v>
      </c>
      <c r="B310" s="1">
        <v>45624</v>
      </c>
      <c r="C310" t="s">
        <v>519</v>
      </c>
      <c r="D310" t="s">
        <v>526</v>
      </c>
      <c r="E310" t="s">
        <v>543</v>
      </c>
      <c r="F310" t="s">
        <v>572</v>
      </c>
      <c r="G310" t="s">
        <v>586</v>
      </c>
      <c r="H310">
        <v>1</v>
      </c>
      <c r="I310">
        <v>1569.38</v>
      </c>
      <c r="J310">
        <v>0</v>
      </c>
      <c r="K310">
        <v>1569.38</v>
      </c>
      <c r="L310">
        <v>1360.65</v>
      </c>
      <c r="M310">
        <v>208.73</v>
      </c>
    </row>
    <row r="311" spans="1:13" x14ac:dyDescent="0.3">
      <c r="A311" t="s">
        <v>325</v>
      </c>
      <c r="B311" s="1">
        <v>45864</v>
      </c>
      <c r="C311" t="s">
        <v>518</v>
      </c>
      <c r="D311" t="s">
        <v>524</v>
      </c>
      <c r="E311" t="s">
        <v>550</v>
      </c>
      <c r="F311" t="s">
        <v>573</v>
      </c>
      <c r="G311" t="s">
        <v>581</v>
      </c>
      <c r="H311">
        <v>2</v>
      </c>
      <c r="I311">
        <v>5898.54</v>
      </c>
      <c r="J311">
        <v>0</v>
      </c>
      <c r="K311">
        <v>11797.08</v>
      </c>
      <c r="L311">
        <v>8564.68</v>
      </c>
      <c r="M311">
        <v>3232.4</v>
      </c>
    </row>
    <row r="312" spans="1:13" x14ac:dyDescent="0.3">
      <c r="A312" t="s">
        <v>326</v>
      </c>
      <c r="B312" s="1">
        <v>45566</v>
      </c>
      <c r="C312" t="s">
        <v>519</v>
      </c>
      <c r="D312" t="s">
        <v>533</v>
      </c>
      <c r="E312" t="s">
        <v>570</v>
      </c>
      <c r="F312" t="s">
        <v>571</v>
      </c>
      <c r="G312" t="s">
        <v>576</v>
      </c>
      <c r="H312">
        <v>1</v>
      </c>
      <c r="I312">
        <v>24249.06</v>
      </c>
      <c r="J312">
        <v>0</v>
      </c>
      <c r="K312">
        <v>24249.06</v>
      </c>
      <c r="L312">
        <v>21508.92</v>
      </c>
      <c r="M312">
        <v>2740.14</v>
      </c>
    </row>
    <row r="313" spans="1:13" x14ac:dyDescent="0.3">
      <c r="A313" t="s">
        <v>327</v>
      </c>
      <c r="B313" s="1">
        <v>45370</v>
      </c>
      <c r="C313" t="s">
        <v>520</v>
      </c>
      <c r="D313" t="s">
        <v>535</v>
      </c>
      <c r="E313" t="s">
        <v>565</v>
      </c>
      <c r="F313" t="s">
        <v>573</v>
      </c>
      <c r="G313" t="s">
        <v>581</v>
      </c>
      <c r="H313">
        <v>1</v>
      </c>
      <c r="I313">
        <v>15657.55</v>
      </c>
      <c r="J313">
        <v>0.05</v>
      </c>
      <c r="K313">
        <v>14874.67</v>
      </c>
      <c r="L313">
        <v>11974.11</v>
      </c>
      <c r="M313">
        <v>2900.56</v>
      </c>
    </row>
    <row r="314" spans="1:13" x14ac:dyDescent="0.3">
      <c r="A314" t="s">
        <v>328</v>
      </c>
      <c r="B314" s="1">
        <v>45430</v>
      </c>
      <c r="C314" t="s">
        <v>520</v>
      </c>
      <c r="D314" t="s">
        <v>528</v>
      </c>
      <c r="E314" t="s">
        <v>552</v>
      </c>
      <c r="F314" t="s">
        <v>572</v>
      </c>
      <c r="G314" t="s">
        <v>587</v>
      </c>
      <c r="H314">
        <v>1</v>
      </c>
      <c r="I314">
        <v>790.79</v>
      </c>
      <c r="J314">
        <v>0</v>
      </c>
      <c r="K314">
        <v>790.79</v>
      </c>
      <c r="L314">
        <v>663.47</v>
      </c>
      <c r="M314">
        <v>127.32</v>
      </c>
    </row>
    <row r="315" spans="1:13" x14ac:dyDescent="0.3">
      <c r="A315" t="s">
        <v>329</v>
      </c>
      <c r="B315" s="1">
        <v>45742</v>
      </c>
      <c r="C315" t="s">
        <v>520</v>
      </c>
      <c r="D315" t="s">
        <v>535</v>
      </c>
      <c r="E315" t="s">
        <v>565</v>
      </c>
      <c r="F315" t="s">
        <v>572</v>
      </c>
      <c r="G315" t="s">
        <v>577</v>
      </c>
      <c r="H315">
        <v>1</v>
      </c>
      <c r="I315">
        <v>1226.26</v>
      </c>
      <c r="J315">
        <v>0</v>
      </c>
      <c r="K315">
        <v>1226.26</v>
      </c>
      <c r="L315">
        <v>890.26</v>
      </c>
      <c r="M315">
        <v>336</v>
      </c>
    </row>
    <row r="316" spans="1:13" x14ac:dyDescent="0.3">
      <c r="A316" t="s">
        <v>330</v>
      </c>
      <c r="B316" s="1">
        <v>45782</v>
      </c>
      <c r="C316" t="s">
        <v>520</v>
      </c>
      <c r="D316" t="s">
        <v>528</v>
      </c>
      <c r="E316" t="s">
        <v>552</v>
      </c>
      <c r="F316" t="s">
        <v>572</v>
      </c>
      <c r="G316" t="s">
        <v>577</v>
      </c>
      <c r="H316">
        <v>1</v>
      </c>
      <c r="I316">
        <v>1483.01</v>
      </c>
      <c r="J316">
        <v>0</v>
      </c>
      <c r="K316">
        <v>1483.01</v>
      </c>
      <c r="L316">
        <v>1296.1500000000001</v>
      </c>
      <c r="M316">
        <v>186.86</v>
      </c>
    </row>
    <row r="317" spans="1:13" x14ac:dyDescent="0.3">
      <c r="A317" t="s">
        <v>331</v>
      </c>
      <c r="B317" s="1">
        <v>45881</v>
      </c>
      <c r="C317" t="s">
        <v>518</v>
      </c>
      <c r="D317" t="s">
        <v>529</v>
      </c>
      <c r="E317" t="s">
        <v>553</v>
      </c>
      <c r="F317" t="s">
        <v>572</v>
      </c>
      <c r="G317" t="s">
        <v>586</v>
      </c>
      <c r="H317">
        <v>2</v>
      </c>
      <c r="I317">
        <v>761.78</v>
      </c>
      <c r="J317">
        <v>0</v>
      </c>
      <c r="K317">
        <v>1523.56</v>
      </c>
      <c r="L317">
        <v>1037.54</v>
      </c>
      <c r="M317">
        <v>486.02</v>
      </c>
    </row>
    <row r="318" spans="1:13" x14ac:dyDescent="0.3">
      <c r="A318" t="s">
        <v>332</v>
      </c>
      <c r="B318" s="1">
        <v>45496</v>
      </c>
      <c r="C318" t="s">
        <v>517</v>
      </c>
      <c r="D318" t="s">
        <v>523</v>
      </c>
      <c r="E318" t="s">
        <v>544</v>
      </c>
      <c r="F318" t="s">
        <v>573</v>
      </c>
      <c r="G318" t="s">
        <v>581</v>
      </c>
      <c r="H318">
        <v>1</v>
      </c>
      <c r="I318">
        <v>23688.42</v>
      </c>
      <c r="J318">
        <v>0</v>
      </c>
      <c r="K318">
        <v>23688.42</v>
      </c>
      <c r="L318">
        <v>18713.849999999999</v>
      </c>
      <c r="M318">
        <v>4974.57</v>
      </c>
    </row>
    <row r="319" spans="1:13" x14ac:dyDescent="0.3">
      <c r="A319" t="s">
        <v>333</v>
      </c>
      <c r="B319" s="1">
        <v>45590</v>
      </c>
      <c r="C319" t="s">
        <v>516</v>
      </c>
      <c r="D319" t="s">
        <v>522</v>
      </c>
      <c r="E319" t="s">
        <v>545</v>
      </c>
      <c r="F319" t="s">
        <v>571</v>
      </c>
      <c r="G319" t="s">
        <v>578</v>
      </c>
      <c r="H319">
        <v>1</v>
      </c>
      <c r="I319">
        <v>21635.63</v>
      </c>
      <c r="J319">
        <v>0</v>
      </c>
      <c r="K319">
        <v>21635.63</v>
      </c>
      <c r="L319">
        <v>17654.669999999998</v>
      </c>
      <c r="M319">
        <v>3980.96</v>
      </c>
    </row>
    <row r="320" spans="1:13" x14ac:dyDescent="0.3">
      <c r="A320" t="s">
        <v>334</v>
      </c>
      <c r="B320" s="1">
        <v>45725</v>
      </c>
      <c r="C320" t="s">
        <v>519</v>
      </c>
      <c r="D320" t="s">
        <v>526</v>
      </c>
      <c r="E320" t="s">
        <v>543</v>
      </c>
      <c r="F320" t="s">
        <v>573</v>
      </c>
      <c r="G320" t="s">
        <v>581</v>
      </c>
      <c r="H320">
        <v>1</v>
      </c>
      <c r="I320">
        <v>15391.61</v>
      </c>
      <c r="J320">
        <v>0</v>
      </c>
      <c r="K320">
        <v>15391.61</v>
      </c>
      <c r="L320">
        <v>13498.44</v>
      </c>
      <c r="M320">
        <v>1893.17</v>
      </c>
    </row>
    <row r="321" spans="1:13" x14ac:dyDescent="0.3">
      <c r="A321" t="s">
        <v>335</v>
      </c>
      <c r="B321" s="1">
        <v>45720</v>
      </c>
      <c r="C321" t="s">
        <v>517</v>
      </c>
      <c r="D321" t="s">
        <v>536</v>
      </c>
      <c r="E321" t="s">
        <v>560</v>
      </c>
      <c r="F321" t="s">
        <v>573</v>
      </c>
      <c r="G321" t="s">
        <v>584</v>
      </c>
      <c r="H321">
        <v>1</v>
      </c>
      <c r="I321">
        <v>15657.86</v>
      </c>
      <c r="J321">
        <v>0</v>
      </c>
      <c r="K321">
        <v>15657.86</v>
      </c>
      <c r="L321">
        <v>13105.63</v>
      </c>
      <c r="M321">
        <v>2552.23</v>
      </c>
    </row>
    <row r="322" spans="1:13" x14ac:dyDescent="0.3">
      <c r="A322" t="s">
        <v>336</v>
      </c>
      <c r="B322" s="1">
        <v>45403</v>
      </c>
      <c r="C322" t="s">
        <v>518</v>
      </c>
      <c r="D322" t="s">
        <v>524</v>
      </c>
      <c r="E322" t="s">
        <v>541</v>
      </c>
      <c r="F322" t="s">
        <v>571</v>
      </c>
      <c r="G322" t="s">
        <v>579</v>
      </c>
      <c r="H322">
        <v>1</v>
      </c>
      <c r="I322">
        <v>6410.85</v>
      </c>
      <c r="J322">
        <v>0</v>
      </c>
      <c r="K322">
        <v>6410.85</v>
      </c>
      <c r="L322">
        <v>5468.46</v>
      </c>
      <c r="M322">
        <v>942.39</v>
      </c>
    </row>
    <row r="323" spans="1:13" x14ac:dyDescent="0.3">
      <c r="A323" t="s">
        <v>337</v>
      </c>
      <c r="B323" s="1">
        <v>45701</v>
      </c>
      <c r="C323" t="s">
        <v>520</v>
      </c>
      <c r="D323" t="s">
        <v>535</v>
      </c>
      <c r="E323" t="s">
        <v>565</v>
      </c>
      <c r="F323" t="s">
        <v>571</v>
      </c>
      <c r="G323" t="s">
        <v>575</v>
      </c>
      <c r="H323">
        <v>1</v>
      </c>
      <c r="I323">
        <v>22922.85</v>
      </c>
      <c r="J323">
        <v>0</v>
      </c>
      <c r="K323">
        <v>22922.85</v>
      </c>
      <c r="L323">
        <v>19530.27</v>
      </c>
      <c r="M323">
        <v>3392.58</v>
      </c>
    </row>
    <row r="324" spans="1:13" x14ac:dyDescent="0.3">
      <c r="A324" t="s">
        <v>338</v>
      </c>
      <c r="B324" s="1">
        <v>45823</v>
      </c>
      <c r="C324" t="s">
        <v>517</v>
      </c>
      <c r="D324" t="s">
        <v>523</v>
      </c>
      <c r="E324" t="s">
        <v>540</v>
      </c>
      <c r="F324" t="s">
        <v>572</v>
      </c>
      <c r="G324" t="s">
        <v>586</v>
      </c>
      <c r="H324">
        <v>1</v>
      </c>
      <c r="I324">
        <v>952.97</v>
      </c>
      <c r="J324">
        <v>0</v>
      </c>
      <c r="K324">
        <v>952.97</v>
      </c>
      <c r="L324">
        <v>650.88</v>
      </c>
      <c r="M324">
        <v>302.08999999999997</v>
      </c>
    </row>
    <row r="325" spans="1:13" x14ac:dyDescent="0.3">
      <c r="A325" t="s">
        <v>339</v>
      </c>
      <c r="B325" s="1">
        <v>45804</v>
      </c>
      <c r="C325" t="s">
        <v>518</v>
      </c>
      <c r="D325" t="s">
        <v>529</v>
      </c>
      <c r="E325" t="s">
        <v>548</v>
      </c>
      <c r="F325" t="s">
        <v>572</v>
      </c>
      <c r="G325" t="s">
        <v>588</v>
      </c>
      <c r="H325">
        <v>1</v>
      </c>
      <c r="I325">
        <v>626.09</v>
      </c>
      <c r="J325">
        <v>0</v>
      </c>
      <c r="K325">
        <v>626.09</v>
      </c>
      <c r="L325">
        <v>467.06</v>
      </c>
      <c r="M325">
        <v>159.03</v>
      </c>
    </row>
    <row r="326" spans="1:13" x14ac:dyDescent="0.3">
      <c r="A326" t="s">
        <v>340</v>
      </c>
      <c r="B326" s="1">
        <v>45379</v>
      </c>
      <c r="C326" t="s">
        <v>516</v>
      </c>
      <c r="D326" t="s">
        <v>527</v>
      </c>
      <c r="E326" t="s">
        <v>558</v>
      </c>
      <c r="F326" t="s">
        <v>572</v>
      </c>
      <c r="G326" t="s">
        <v>577</v>
      </c>
      <c r="H326">
        <v>2</v>
      </c>
      <c r="I326">
        <v>937.9</v>
      </c>
      <c r="J326">
        <v>0</v>
      </c>
      <c r="K326">
        <v>1875.8</v>
      </c>
      <c r="L326">
        <v>1500.64</v>
      </c>
      <c r="M326">
        <v>375.16</v>
      </c>
    </row>
    <row r="327" spans="1:13" x14ac:dyDescent="0.3">
      <c r="A327" t="s">
        <v>341</v>
      </c>
      <c r="B327" s="1">
        <v>45786</v>
      </c>
      <c r="C327" t="s">
        <v>520</v>
      </c>
      <c r="D327" t="s">
        <v>535</v>
      </c>
      <c r="E327" t="s">
        <v>565</v>
      </c>
      <c r="F327" t="s">
        <v>572</v>
      </c>
      <c r="G327" t="s">
        <v>586</v>
      </c>
      <c r="H327">
        <v>1</v>
      </c>
      <c r="I327">
        <v>671.87</v>
      </c>
      <c r="J327">
        <v>0</v>
      </c>
      <c r="K327">
        <v>671.87</v>
      </c>
      <c r="L327">
        <v>530.11</v>
      </c>
      <c r="M327">
        <v>141.76</v>
      </c>
    </row>
    <row r="328" spans="1:13" x14ac:dyDescent="0.3">
      <c r="A328" t="s">
        <v>342</v>
      </c>
      <c r="B328" s="1">
        <v>45409</v>
      </c>
      <c r="C328" t="s">
        <v>516</v>
      </c>
      <c r="D328" t="s">
        <v>521</v>
      </c>
      <c r="E328" t="s">
        <v>538</v>
      </c>
      <c r="F328" t="s">
        <v>573</v>
      </c>
      <c r="G328" t="s">
        <v>585</v>
      </c>
      <c r="H328">
        <v>1</v>
      </c>
      <c r="I328">
        <v>23388.22</v>
      </c>
      <c r="J328">
        <v>0</v>
      </c>
      <c r="K328">
        <v>23388.22</v>
      </c>
      <c r="L328">
        <v>16979.849999999999</v>
      </c>
      <c r="M328">
        <v>6408.37</v>
      </c>
    </row>
    <row r="329" spans="1:13" x14ac:dyDescent="0.3">
      <c r="A329" t="s">
        <v>343</v>
      </c>
      <c r="B329" s="1">
        <v>45820</v>
      </c>
      <c r="C329" t="s">
        <v>518</v>
      </c>
      <c r="D329" t="s">
        <v>524</v>
      </c>
      <c r="E329" t="s">
        <v>550</v>
      </c>
      <c r="F329" t="s">
        <v>572</v>
      </c>
      <c r="G329" t="s">
        <v>587</v>
      </c>
      <c r="H329">
        <v>1</v>
      </c>
      <c r="I329">
        <v>881.42</v>
      </c>
      <c r="J329">
        <v>0</v>
      </c>
      <c r="K329">
        <v>881.42</v>
      </c>
      <c r="L329">
        <v>803.86</v>
      </c>
      <c r="M329">
        <v>77.56</v>
      </c>
    </row>
    <row r="330" spans="1:13" x14ac:dyDescent="0.3">
      <c r="A330" t="s">
        <v>344</v>
      </c>
      <c r="B330" s="1">
        <v>45706</v>
      </c>
      <c r="C330" t="s">
        <v>518</v>
      </c>
      <c r="D330" t="s">
        <v>537</v>
      </c>
      <c r="E330" t="s">
        <v>569</v>
      </c>
      <c r="F330" t="s">
        <v>572</v>
      </c>
      <c r="G330" t="s">
        <v>588</v>
      </c>
      <c r="H330">
        <v>1</v>
      </c>
      <c r="I330">
        <v>1487.91</v>
      </c>
      <c r="J330">
        <v>0</v>
      </c>
      <c r="K330">
        <v>1487.91</v>
      </c>
      <c r="L330">
        <v>1251.33</v>
      </c>
      <c r="M330">
        <v>236.58</v>
      </c>
    </row>
    <row r="331" spans="1:13" x14ac:dyDescent="0.3">
      <c r="A331" t="s">
        <v>345</v>
      </c>
      <c r="B331" s="1">
        <v>45752</v>
      </c>
      <c r="C331" t="s">
        <v>517</v>
      </c>
      <c r="D331" t="s">
        <v>530</v>
      </c>
      <c r="E331" t="s">
        <v>549</v>
      </c>
      <c r="F331" t="s">
        <v>571</v>
      </c>
      <c r="G331" t="s">
        <v>574</v>
      </c>
      <c r="H331">
        <v>1</v>
      </c>
      <c r="I331">
        <v>18845.400000000001</v>
      </c>
      <c r="J331">
        <v>0</v>
      </c>
      <c r="K331">
        <v>18845.400000000001</v>
      </c>
      <c r="L331">
        <v>14680.57</v>
      </c>
      <c r="M331">
        <v>4164.83</v>
      </c>
    </row>
    <row r="332" spans="1:13" x14ac:dyDescent="0.3">
      <c r="A332" t="s">
        <v>346</v>
      </c>
      <c r="B332" s="1">
        <v>45356</v>
      </c>
      <c r="C332" t="s">
        <v>517</v>
      </c>
      <c r="D332" t="s">
        <v>536</v>
      </c>
      <c r="E332" t="s">
        <v>560</v>
      </c>
      <c r="F332" t="s">
        <v>572</v>
      </c>
      <c r="G332" t="s">
        <v>577</v>
      </c>
      <c r="H332">
        <v>1</v>
      </c>
      <c r="I332">
        <v>434.29</v>
      </c>
      <c r="J332">
        <v>0.15</v>
      </c>
      <c r="K332">
        <v>369.15</v>
      </c>
      <c r="L332">
        <v>241.42</v>
      </c>
      <c r="M332">
        <v>127.73</v>
      </c>
    </row>
    <row r="333" spans="1:13" x14ac:dyDescent="0.3">
      <c r="A333" t="s">
        <v>347</v>
      </c>
      <c r="B333" s="1">
        <v>45793</v>
      </c>
      <c r="C333" t="s">
        <v>517</v>
      </c>
      <c r="D333" t="s">
        <v>531</v>
      </c>
      <c r="E333" t="s">
        <v>563</v>
      </c>
      <c r="F333" t="s">
        <v>573</v>
      </c>
      <c r="G333" t="s">
        <v>581</v>
      </c>
      <c r="H333">
        <v>1</v>
      </c>
      <c r="I333">
        <v>15501.11</v>
      </c>
      <c r="J333">
        <v>0</v>
      </c>
      <c r="K333">
        <v>15501.11</v>
      </c>
      <c r="L333">
        <v>13625.48</v>
      </c>
      <c r="M333">
        <v>1875.63</v>
      </c>
    </row>
    <row r="334" spans="1:13" x14ac:dyDescent="0.3">
      <c r="A334" t="s">
        <v>348</v>
      </c>
      <c r="B334" s="1">
        <v>45760</v>
      </c>
      <c r="C334" t="s">
        <v>517</v>
      </c>
      <c r="D334" t="s">
        <v>523</v>
      </c>
      <c r="E334" t="s">
        <v>540</v>
      </c>
      <c r="F334" t="s">
        <v>573</v>
      </c>
      <c r="G334" t="s">
        <v>584</v>
      </c>
      <c r="H334">
        <v>1</v>
      </c>
      <c r="I334">
        <v>3949.3</v>
      </c>
      <c r="J334">
        <v>0.05</v>
      </c>
      <c r="K334">
        <v>3751.84</v>
      </c>
      <c r="L334">
        <v>3391.66</v>
      </c>
      <c r="M334">
        <v>360.18</v>
      </c>
    </row>
    <row r="335" spans="1:13" x14ac:dyDescent="0.3">
      <c r="A335" t="s">
        <v>349</v>
      </c>
      <c r="B335" s="1">
        <v>45536</v>
      </c>
      <c r="C335" t="s">
        <v>520</v>
      </c>
      <c r="D335" t="s">
        <v>528</v>
      </c>
      <c r="E335" t="s">
        <v>547</v>
      </c>
      <c r="F335" t="s">
        <v>572</v>
      </c>
      <c r="G335" t="s">
        <v>583</v>
      </c>
      <c r="H335">
        <v>1</v>
      </c>
      <c r="I335">
        <v>1046.1099999999999</v>
      </c>
      <c r="J335">
        <v>0</v>
      </c>
      <c r="K335">
        <v>1046.1099999999999</v>
      </c>
      <c r="L335">
        <v>943.59</v>
      </c>
      <c r="M335">
        <v>102.52</v>
      </c>
    </row>
    <row r="336" spans="1:13" x14ac:dyDescent="0.3">
      <c r="A336" t="s">
        <v>350</v>
      </c>
      <c r="B336" s="1">
        <v>45433</v>
      </c>
      <c r="C336" t="s">
        <v>517</v>
      </c>
      <c r="D336" t="s">
        <v>530</v>
      </c>
      <c r="E336" t="s">
        <v>549</v>
      </c>
      <c r="F336" t="s">
        <v>571</v>
      </c>
      <c r="G336" t="s">
        <v>576</v>
      </c>
      <c r="H336">
        <v>1</v>
      </c>
      <c r="I336">
        <v>51933.63</v>
      </c>
      <c r="J336">
        <v>0</v>
      </c>
      <c r="K336">
        <v>51933.63</v>
      </c>
      <c r="L336">
        <v>44870.66</v>
      </c>
      <c r="M336">
        <v>7062.97</v>
      </c>
    </row>
    <row r="337" spans="1:13" x14ac:dyDescent="0.3">
      <c r="A337" t="s">
        <v>351</v>
      </c>
      <c r="B337" s="1">
        <v>45469</v>
      </c>
      <c r="C337" t="s">
        <v>517</v>
      </c>
      <c r="D337" t="s">
        <v>523</v>
      </c>
      <c r="E337" t="s">
        <v>540</v>
      </c>
      <c r="F337" t="s">
        <v>572</v>
      </c>
      <c r="G337" t="s">
        <v>583</v>
      </c>
      <c r="H337">
        <v>1</v>
      </c>
      <c r="I337">
        <v>414.84</v>
      </c>
      <c r="J337">
        <v>0</v>
      </c>
      <c r="K337">
        <v>414.84</v>
      </c>
      <c r="L337">
        <v>282.51</v>
      </c>
      <c r="M337">
        <v>132.33000000000001</v>
      </c>
    </row>
    <row r="338" spans="1:13" x14ac:dyDescent="0.3">
      <c r="A338" t="s">
        <v>352</v>
      </c>
      <c r="B338" s="1">
        <v>45346</v>
      </c>
      <c r="C338" t="s">
        <v>520</v>
      </c>
      <c r="D338" t="s">
        <v>528</v>
      </c>
      <c r="E338" t="s">
        <v>552</v>
      </c>
      <c r="F338" t="s">
        <v>571</v>
      </c>
      <c r="G338" t="s">
        <v>574</v>
      </c>
      <c r="H338">
        <v>1</v>
      </c>
      <c r="I338">
        <v>65771.63</v>
      </c>
      <c r="J338">
        <v>0</v>
      </c>
      <c r="K338">
        <v>65771.63</v>
      </c>
      <c r="L338">
        <v>52156.9</v>
      </c>
      <c r="M338">
        <v>13614.73</v>
      </c>
    </row>
    <row r="339" spans="1:13" x14ac:dyDescent="0.3">
      <c r="A339" t="s">
        <v>353</v>
      </c>
      <c r="B339" s="1">
        <v>45809</v>
      </c>
      <c r="C339" t="s">
        <v>519</v>
      </c>
      <c r="D339" t="s">
        <v>534</v>
      </c>
      <c r="E339" t="s">
        <v>556</v>
      </c>
      <c r="F339" t="s">
        <v>572</v>
      </c>
      <c r="G339" t="s">
        <v>586</v>
      </c>
      <c r="H339">
        <v>1</v>
      </c>
      <c r="I339">
        <v>1002.96</v>
      </c>
      <c r="J339">
        <v>0.05</v>
      </c>
      <c r="K339">
        <v>952.81</v>
      </c>
      <c r="L339">
        <v>624.09</v>
      </c>
      <c r="M339">
        <v>328.72</v>
      </c>
    </row>
    <row r="340" spans="1:13" x14ac:dyDescent="0.3">
      <c r="A340" t="s">
        <v>354</v>
      </c>
      <c r="B340" s="1">
        <v>45517</v>
      </c>
      <c r="C340" t="s">
        <v>520</v>
      </c>
      <c r="D340" t="s">
        <v>528</v>
      </c>
      <c r="E340" t="s">
        <v>552</v>
      </c>
      <c r="F340" t="s">
        <v>571</v>
      </c>
      <c r="G340" t="s">
        <v>579</v>
      </c>
      <c r="H340">
        <v>1</v>
      </c>
      <c r="I340">
        <v>25227.61</v>
      </c>
      <c r="J340">
        <v>0</v>
      </c>
      <c r="K340">
        <v>25227.61</v>
      </c>
      <c r="L340">
        <v>20964.14</v>
      </c>
      <c r="M340">
        <v>4263.47</v>
      </c>
    </row>
    <row r="341" spans="1:13" x14ac:dyDescent="0.3">
      <c r="A341" t="s">
        <v>355</v>
      </c>
      <c r="B341" s="1">
        <v>45871</v>
      </c>
      <c r="C341" t="s">
        <v>519</v>
      </c>
      <c r="D341" t="s">
        <v>526</v>
      </c>
      <c r="E341" t="s">
        <v>562</v>
      </c>
      <c r="F341" t="s">
        <v>572</v>
      </c>
      <c r="G341" t="s">
        <v>587</v>
      </c>
      <c r="H341">
        <v>4</v>
      </c>
      <c r="I341">
        <v>1655.4</v>
      </c>
      <c r="J341">
        <v>0</v>
      </c>
      <c r="K341">
        <v>6621.6</v>
      </c>
      <c r="L341">
        <v>4568.8999999999996</v>
      </c>
      <c r="M341">
        <v>2052.6999999999998</v>
      </c>
    </row>
    <row r="342" spans="1:13" x14ac:dyDescent="0.3">
      <c r="A342" t="s">
        <v>356</v>
      </c>
      <c r="B342" s="1">
        <v>45334</v>
      </c>
      <c r="C342" t="s">
        <v>519</v>
      </c>
      <c r="D342" t="s">
        <v>533</v>
      </c>
      <c r="E342" t="s">
        <v>555</v>
      </c>
      <c r="F342" t="s">
        <v>571</v>
      </c>
      <c r="G342" t="s">
        <v>574</v>
      </c>
      <c r="H342">
        <v>2</v>
      </c>
      <c r="I342">
        <v>25923.59</v>
      </c>
      <c r="J342">
        <v>0</v>
      </c>
      <c r="K342">
        <v>51847.18</v>
      </c>
      <c r="L342">
        <v>45262.59</v>
      </c>
      <c r="M342">
        <v>6584.59</v>
      </c>
    </row>
    <row r="343" spans="1:13" x14ac:dyDescent="0.3">
      <c r="A343" t="s">
        <v>357</v>
      </c>
      <c r="B343" s="1">
        <v>45752</v>
      </c>
      <c r="C343" t="s">
        <v>520</v>
      </c>
      <c r="D343" t="s">
        <v>535</v>
      </c>
      <c r="E343" t="s">
        <v>565</v>
      </c>
      <c r="F343" t="s">
        <v>572</v>
      </c>
      <c r="G343" t="s">
        <v>588</v>
      </c>
      <c r="H343">
        <v>1</v>
      </c>
      <c r="I343">
        <v>1562.48</v>
      </c>
      <c r="J343">
        <v>0</v>
      </c>
      <c r="K343">
        <v>1562.48</v>
      </c>
      <c r="L343">
        <v>1170.3</v>
      </c>
      <c r="M343">
        <v>392.18</v>
      </c>
    </row>
    <row r="344" spans="1:13" x14ac:dyDescent="0.3">
      <c r="A344" t="s">
        <v>358</v>
      </c>
      <c r="B344" s="1">
        <v>45894</v>
      </c>
      <c r="C344" t="s">
        <v>520</v>
      </c>
      <c r="D344" t="s">
        <v>535</v>
      </c>
      <c r="E344" t="s">
        <v>565</v>
      </c>
      <c r="F344" t="s">
        <v>573</v>
      </c>
      <c r="G344" t="s">
        <v>585</v>
      </c>
      <c r="H344">
        <v>3</v>
      </c>
      <c r="I344">
        <v>20051.53</v>
      </c>
      <c r="J344">
        <v>0</v>
      </c>
      <c r="K344">
        <v>60154.59</v>
      </c>
      <c r="L344">
        <v>47101.04</v>
      </c>
      <c r="M344">
        <v>13053.55</v>
      </c>
    </row>
    <row r="345" spans="1:13" x14ac:dyDescent="0.3">
      <c r="A345" t="s">
        <v>359</v>
      </c>
      <c r="B345" s="1">
        <v>45352</v>
      </c>
      <c r="C345" t="s">
        <v>517</v>
      </c>
      <c r="D345" t="s">
        <v>531</v>
      </c>
      <c r="E345" t="s">
        <v>563</v>
      </c>
      <c r="F345" t="s">
        <v>573</v>
      </c>
      <c r="G345" t="s">
        <v>584</v>
      </c>
      <c r="H345">
        <v>1</v>
      </c>
      <c r="I345">
        <v>5872.68</v>
      </c>
      <c r="J345">
        <v>0</v>
      </c>
      <c r="K345">
        <v>5872.68</v>
      </c>
      <c r="L345">
        <v>5085.74</v>
      </c>
      <c r="M345">
        <v>786.94</v>
      </c>
    </row>
    <row r="346" spans="1:13" x14ac:dyDescent="0.3">
      <c r="A346" t="s">
        <v>360</v>
      </c>
      <c r="B346" s="1">
        <v>45591</v>
      </c>
      <c r="C346" t="s">
        <v>520</v>
      </c>
      <c r="D346" t="s">
        <v>535</v>
      </c>
      <c r="E346" t="s">
        <v>565</v>
      </c>
      <c r="F346" t="s">
        <v>571</v>
      </c>
      <c r="G346" t="s">
        <v>576</v>
      </c>
      <c r="H346">
        <v>2</v>
      </c>
      <c r="I346">
        <v>73745.19</v>
      </c>
      <c r="J346">
        <v>0</v>
      </c>
      <c r="K346">
        <v>147490.38</v>
      </c>
      <c r="L346">
        <v>131856.4</v>
      </c>
      <c r="M346">
        <v>15633.98</v>
      </c>
    </row>
    <row r="347" spans="1:13" x14ac:dyDescent="0.3">
      <c r="A347" t="s">
        <v>361</v>
      </c>
      <c r="B347" s="1">
        <v>45421</v>
      </c>
      <c r="C347" t="s">
        <v>518</v>
      </c>
      <c r="D347" t="s">
        <v>537</v>
      </c>
      <c r="E347" t="s">
        <v>561</v>
      </c>
      <c r="F347" t="s">
        <v>573</v>
      </c>
      <c r="G347" t="s">
        <v>580</v>
      </c>
      <c r="H347">
        <v>1</v>
      </c>
      <c r="I347">
        <v>21055.08</v>
      </c>
      <c r="J347">
        <v>0</v>
      </c>
      <c r="K347">
        <v>21055.08</v>
      </c>
      <c r="L347">
        <v>17307.28</v>
      </c>
      <c r="M347">
        <v>3747.8</v>
      </c>
    </row>
    <row r="348" spans="1:13" x14ac:dyDescent="0.3">
      <c r="A348" t="s">
        <v>362</v>
      </c>
      <c r="B348" s="1">
        <v>45694</v>
      </c>
      <c r="C348" t="s">
        <v>519</v>
      </c>
      <c r="D348" t="s">
        <v>533</v>
      </c>
      <c r="E348" t="s">
        <v>555</v>
      </c>
      <c r="F348" t="s">
        <v>573</v>
      </c>
      <c r="G348" t="s">
        <v>581</v>
      </c>
      <c r="H348">
        <v>1</v>
      </c>
      <c r="I348">
        <v>10628.96</v>
      </c>
      <c r="J348">
        <v>0.05</v>
      </c>
      <c r="K348">
        <v>10097.51</v>
      </c>
      <c r="L348">
        <v>8855.52</v>
      </c>
      <c r="M348">
        <v>1241.99</v>
      </c>
    </row>
    <row r="349" spans="1:13" x14ac:dyDescent="0.3">
      <c r="A349" t="s">
        <v>363</v>
      </c>
      <c r="B349" s="1">
        <v>45704</v>
      </c>
      <c r="C349" t="s">
        <v>517</v>
      </c>
      <c r="D349" t="s">
        <v>531</v>
      </c>
      <c r="E349" t="s">
        <v>563</v>
      </c>
      <c r="F349" t="s">
        <v>572</v>
      </c>
      <c r="G349" t="s">
        <v>586</v>
      </c>
      <c r="H349">
        <v>1</v>
      </c>
      <c r="I349">
        <v>688.21</v>
      </c>
      <c r="J349">
        <v>0.15</v>
      </c>
      <c r="K349">
        <v>584.98</v>
      </c>
      <c r="L349">
        <v>448.68</v>
      </c>
      <c r="M349">
        <v>136.30000000000001</v>
      </c>
    </row>
    <row r="350" spans="1:13" x14ac:dyDescent="0.3">
      <c r="A350" t="s">
        <v>364</v>
      </c>
      <c r="B350" s="1">
        <v>45387</v>
      </c>
      <c r="C350" t="s">
        <v>519</v>
      </c>
      <c r="D350" t="s">
        <v>532</v>
      </c>
      <c r="E350" t="s">
        <v>564</v>
      </c>
      <c r="F350" t="s">
        <v>573</v>
      </c>
      <c r="G350" t="s">
        <v>581</v>
      </c>
      <c r="H350">
        <v>1</v>
      </c>
      <c r="I350">
        <v>7010.09</v>
      </c>
      <c r="J350">
        <v>0</v>
      </c>
      <c r="K350">
        <v>7010.09</v>
      </c>
      <c r="L350">
        <v>5439.83</v>
      </c>
      <c r="M350">
        <v>1570.26</v>
      </c>
    </row>
    <row r="351" spans="1:13" x14ac:dyDescent="0.3">
      <c r="A351" t="s">
        <v>365</v>
      </c>
      <c r="B351" s="1">
        <v>45508</v>
      </c>
      <c r="C351" t="s">
        <v>519</v>
      </c>
      <c r="D351" t="s">
        <v>532</v>
      </c>
      <c r="E351" t="s">
        <v>554</v>
      </c>
      <c r="F351" t="s">
        <v>572</v>
      </c>
      <c r="G351" t="s">
        <v>577</v>
      </c>
      <c r="H351">
        <v>1</v>
      </c>
      <c r="I351">
        <v>1117.26</v>
      </c>
      <c r="J351">
        <v>0.1</v>
      </c>
      <c r="K351">
        <v>1005.53</v>
      </c>
      <c r="L351">
        <v>810.46</v>
      </c>
      <c r="M351">
        <v>195.07</v>
      </c>
    </row>
    <row r="352" spans="1:13" x14ac:dyDescent="0.3">
      <c r="A352" t="s">
        <v>366</v>
      </c>
      <c r="B352" s="1">
        <v>45643</v>
      </c>
      <c r="C352" t="s">
        <v>516</v>
      </c>
      <c r="D352" t="s">
        <v>525</v>
      </c>
      <c r="E352" t="s">
        <v>557</v>
      </c>
      <c r="F352" t="s">
        <v>573</v>
      </c>
      <c r="G352" t="s">
        <v>581</v>
      </c>
      <c r="H352">
        <v>1</v>
      </c>
      <c r="I352">
        <v>2374.4699999999998</v>
      </c>
      <c r="J352">
        <v>0</v>
      </c>
      <c r="K352">
        <v>2374.4699999999998</v>
      </c>
      <c r="L352">
        <v>2217.75</v>
      </c>
      <c r="M352">
        <v>156.72</v>
      </c>
    </row>
    <row r="353" spans="1:13" x14ac:dyDescent="0.3">
      <c r="A353" t="s">
        <v>367</v>
      </c>
      <c r="B353" s="1">
        <v>45453</v>
      </c>
      <c r="C353" t="s">
        <v>519</v>
      </c>
      <c r="D353" t="s">
        <v>534</v>
      </c>
      <c r="E353" t="s">
        <v>566</v>
      </c>
      <c r="F353" t="s">
        <v>572</v>
      </c>
      <c r="G353" t="s">
        <v>583</v>
      </c>
      <c r="H353">
        <v>1</v>
      </c>
      <c r="I353">
        <v>1991.6</v>
      </c>
      <c r="J353">
        <v>0</v>
      </c>
      <c r="K353">
        <v>1991.6</v>
      </c>
      <c r="L353">
        <v>1812.36</v>
      </c>
      <c r="M353">
        <v>179.24</v>
      </c>
    </row>
    <row r="354" spans="1:13" x14ac:dyDescent="0.3">
      <c r="A354" t="s">
        <v>368</v>
      </c>
      <c r="B354" s="1">
        <v>45601</v>
      </c>
      <c r="C354" t="s">
        <v>518</v>
      </c>
      <c r="D354" t="s">
        <v>529</v>
      </c>
      <c r="E354" t="s">
        <v>548</v>
      </c>
      <c r="F354" t="s">
        <v>573</v>
      </c>
      <c r="G354" t="s">
        <v>580</v>
      </c>
      <c r="H354">
        <v>1</v>
      </c>
      <c r="I354">
        <v>7758.95</v>
      </c>
      <c r="J354">
        <v>0</v>
      </c>
      <c r="K354">
        <v>7758.95</v>
      </c>
      <c r="L354">
        <v>5066.59</v>
      </c>
      <c r="M354">
        <v>2692.36</v>
      </c>
    </row>
    <row r="355" spans="1:13" x14ac:dyDescent="0.3">
      <c r="A355" t="s">
        <v>369</v>
      </c>
      <c r="B355" s="1">
        <v>45461</v>
      </c>
      <c r="C355" t="s">
        <v>516</v>
      </c>
      <c r="D355" t="s">
        <v>522</v>
      </c>
      <c r="E355" t="s">
        <v>545</v>
      </c>
      <c r="F355" t="s">
        <v>573</v>
      </c>
      <c r="G355" t="s">
        <v>585</v>
      </c>
      <c r="H355">
        <v>1</v>
      </c>
      <c r="I355">
        <v>11872.31</v>
      </c>
      <c r="J355">
        <v>0.05</v>
      </c>
      <c r="K355">
        <v>11278.69</v>
      </c>
      <c r="L355">
        <v>7974.03</v>
      </c>
      <c r="M355">
        <v>3304.66</v>
      </c>
    </row>
    <row r="356" spans="1:13" x14ac:dyDescent="0.3">
      <c r="A356" t="s">
        <v>370</v>
      </c>
      <c r="B356" s="1">
        <v>45293</v>
      </c>
      <c r="C356" t="s">
        <v>518</v>
      </c>
      <c r="D356" t="s">
        <v>529</v>
      </c>
      <c r="E356" t="s">
        <v>548</v>
      </c>
      <c r="F356" t="s">
        <v>571</v>
      </c>
      <c r="G356" t="s">
        <v>579</v>
      </c>
      <c r="H356">
        <v>1</v>
      </c>
      <c r="I356">
        <v>20416.7</v>
      </c>
      <c r="J356">
        <v>0</v>
      </c>
      <c r="K356">
        <v>20416.7</v>
      </c>
      <c r="L356">
        <v>15230.86</v>
      </c>
      <c r="M356">
        <v>5185.84</v>
      </c>
    </row>
    <row r="357" spans="1:13" x14ac:dyDescent="0.3">
      <c r="A357" t="s">
        <v>371</v>
      </c>
      <c r="B357" s="1">
        <v>45301</v>
      </c>
      <c r="C357" t="s">
        <v>516</v>
      </c>
      <c r="D357" t="s">
        <v>521</v>
      </c>
      <c r="E357" t="s">
        <v>538</v>
      </c>
      <c r="F357" t="s">
        <v>572</v>
      </c>
      <c r="G357" t="s">
        <v>583</v>
      </c>
      <c r="H357">
        <v>2</v>
      </c>
      <c r="I357">
        <v>981.52</v>
      </c>
      <c r="J357">
        <v>0</v>
      </c>
      <c r="K357">
        <v>1963.04</v>
      </c>
      <c r="L357">
        <v>1513.5</v>
      </c>
      <c r="M357">
        <v>449.54</v>
      </c>
    </row>
    <row r="358" spans="1:13" x14ac:dyDescent="0.3">
      <c r="A358" t="s">
        <v>372</v>
      </c>
      <c r="B358" s="1">
        <v>45383</v>
      </c>
      <c r="C358" t="s">
        <v>516</v>
      </c>
      <c r="D358" t="s">
        <v>525</v>
      </c>
      <c r="E358" t="s">
        <v>542</v>
      </c>
      <c r="F358" t="s">
        <v>572</v>
      </c>
      <c r="G358" t="s">
        <v>577</v>
      </c>
      <c r="H358">
        <v>1</v>
      </c>
      <c r="I358">
        <v>317.39999999999998</v>
      </c>
      <c r="J358">
        <v>0</v>
      </c>
      <c r="K358">
        <v>317.39999999999998</v>
      </c>
      <c r="L358">
        <v>262.17</v>
      </c>
      <c r="M358">
        <v>55.23</v>
      </c>
    </row>
    <row r="359" spans="1:13" x14ac:dyDescent="0.3">
      <c r="A359" t="s">
        <v>373</v>
      </c>
      <c r="B359" s="1">
        <v>45428</v>
      </c>
      <c r="C359" t="s">
        <v>518</v>
      </c>
      <c r="D359" t="s">
        <v>537</v>
      </c>
      <c r="E359" t="s">
        <v>561</v>
      </c>
      <c r="F359" t="s">
        <v>573</v>
      </c>
      <c r="G359" t="s">
        <v>585</v>
      </c>
      <c r="H359">
        <v>1</v>
      </c>
      <c r="I359">
        <v>12122.29</v>
      </c>
      <c r="J359">
        <v>0</v>
      </c>
      <c r="K359">
        <v>12122.29</v>
      </c>
      <c r="L359">
        <v>8134.06</v>
      </c>
      <c r="M359">
        <v>3988.23</v>
      </c>
    </row>
    <row r="360" spans="1:13" x14ac:dyDescent="0.3">
      <c r="A360" t="s">
        <v>374</v>
      </c>
      <c r="B360" s="1">
        <v>45447</v>
      </c>
      <c r="C360" t="s">
        <v>519</v>
      </c>
      <c r="D360" t="s">
        <v>534</v>
      </c>
      <c r="E360" t="s">
        <v>566</v>
      </c>
      <c r="F360" t="s">
        <v>571</v>
      </c>
      <c r="G360" t="s">
        <v>575</v>
      </c>
      <c r="H360">
        <v>2</v>
      </c>
      <c r="I360">
        <v>13781.01</v>
      </c>
      <c r="J360">
        <v>0.15</v>
      </c>
      <c r="K360">
        <v>23427.72</v>
      </c>
      <c r="L360">
        <v>15462.3</v>
      </c>
      <c r="M360">
        <v>7965.42</v>
      </c>
    </row>
    <row r="361" spans="1:13" x14ac:dyDescent="0.3">
      <c r="A361" t="s">
        <v>375</v>
      </c>
      <c r="B361" s="1">
        <v>45685</v>
      </c>
      <c r="C361" t="s">
        <v>520</v>
      </c>
      <c r="D361" t="s">
        <v>535</v>
      </c>
      <c r="E361" t="s">
        <v>559</v>
      </c>
      <c r="F361" t="s">
        <v>571</v>
      </c>
      <c r="G361" t="s">
        <v>574</v>
      </c>
      <c r="H361">
        <v>1</v>
      </c>
      <c r="I361">
        <v>24326.51</v>
      </c>
      <c r="J361">
        <v>0.15</v>
      </c>
      <c r="K361">
        <v>20677.53</v>
      </c>
      <c r="L361">
        <v>15115.27</v>
      </c>
      <c r="M361">
        <v>5562.26</v>
      </c>
    </row>
    <row r="362" spans="1:13" x14ac:dyDescent="0.3">
      <c r="A362" t="s">
        <v>376</v>
      </c>
      <c r="B362" s="1">
        <v>45583</v>
      </c>
      <c r="C362" t="s">
        <v>516</v>
      </c>
      <c r="D362" t="s">
        <v>521</v>
      </c>
      <c r="E362" t="s">
        <v>538</v>
      </c>
      <c r="F362" t="s">
        <v>573</v>
      </c>
      <c r="G362" t="s">
        <v>584</v>
      </c>
      <c r="H362">
        <v>4</v>
      </c>
      <c r="I362">
        <v>13719.02</v>
      </c>
      <c r="J362">
        <v>0</v>
      </c>
      <c r="K362">
        <v>54876.08</v>
      </c>
      <c r="L362">
        <v>49168.97</v>
      </c>
      <c r="M362">
        <v>5707.11</v>
      </c>
    </row>
    <row r="363" spans="1:13" x14ac:dyDescent="0.3">
      <c r="A363" t="s">
        <v>377</v>
      </c>
      <c r="B363" s="1">
        <v>45594</v>
      </c>
      <c r="C363" t="s">
        <v>516</v>
      </c>
      <c r="D363" t="s">
        <v>527</v>
      </c>
      <c r="E363" t="s">
        <v>558</v>
      </c>
      <c r="F363" t="s">
        <v>572</v>
      </c>
      <c r="G363" t="s">
        <v>588</v>
      </c>
      <c r="H363">
        <v>1</v>
      </c>
      <c r="I363">
        <v>520.11</v>
      </c>
      <c r="J363">
        <v>0</v>
      </c>
      <c r="K363">
        <v>520.11</v>
      </c>
      <c r="L363">
        <v>378.64</v>
      </c>
      <c r="M363">
        <v>141.47</v>
      </c>
    </row>
    <row r="364" spans="1:13" x14ac:dyDescent="0.3">
      <c r="A364" t="s">
        <v>378</v>
      </c>
      <c r="B364" s="1">
        <v>45364</v>
      </c>
      <c r="C364" t="s">
        <v>517</v>
      </c>
      <c r="D364" t="s">
        <v>536</v>
      </c>
      <c r="E364" t="s">
        <v>560</v>
      </c>
      <c r="F364" t="s">
        <v>572</v>
      </c>
      <c r="G364" t="s">
        <v>583</v>
      </c>
      <c r="H364">
        <v>1</v>
      </c>
      <c r="I364">
        <v>804.33</v>
      </c>
      <c r="J364">
        <v>0</v>
      </c>
      <c r="K364">
        <v>804.33</v>
      </c>
      <c r="L364">
        <v>560.62</v>
      </c>
      <c r="M364">
        <v>243.71</v>
      </c>
    </row>
    <row r="365" spans="1:13" x14ac:dyDescent="0.3">
      <c r="A365" t="s">
        <v>379</v>
      </c>
      <c r="B365" s="1">
        <v>45722</v>
      </c>
      <c r="C365" t="s">
        <v>520</v>
      </c>
      <c r="D365" t="s">
        <v>528</v>
      </c>
      <c r="E365" t="s">
        <v>552</v>
      </c>
      <c r="F365" t="s">
        <v>571</v>
      </c>
      <c r="G365" t="s">
        <v>575</v>
      </c>
      <c r="H365">
        <v>1</v>
      </c>
      <c r="I365">
        <v>48226.99</v>
      </c>
      <c r="J365">
        <v>0.05</v>
      </c>
      <c r="K365">
        <v>45815.64</v>
      </c>
      <c r="L365">
        <v>32574.92</v>
      </c>
      <c r="M365">
        <v>13240.72</v>
      </c>
    </row>
    <row r="366" spans="1:13" x14ac:dyDescent="0.3">
      <c r="A366" t="s">
        <v>380</v>
      </c>
      <c r="B366" s="1">
        <v>45332</v>
      </c>
      <c r="C366" t="s">
        <v>516</v>
      </c>
      <c r="D366" t="s">
        <v>522</v>
      </c>
      <c r="E366" t="s">
        <v>545</v>
      </c>
      <c r="F366" t="s">
        <v>573</v>
      </c>
      <c r="G366" t="s">
        <v>584</v>
      </c>
      <c r="H366">
        <v>1</v>
      </c>
      <c r="I366">
        <v>19643.53</v>
      </c>
      <c r="J366">
        <v>0</v>
      </c>
      <c r="K366">
        <v>19643.53</v>
      </c>
      <c r="L366">
        <v>17698.82</v>
      </c>
      <c r="M366">
        <v>1944.71</v>
      </c>
    </row>
    <row r="367" spans="1:13" x14ac:dyDescent="0.3">
      <c r="A367" t="s">
        <v>381</v>
      </c>
      <c r="B367" s="1">
        <v>45703</v>
      </c>
      <c r="C367" t="s">
        <v>516</v>
      </c>
      <c r="D367" t="s">
        <v>527</v>
      </c>
      <c r="E367" t="s">
        <v>558</v>
      </c>
      <c r="F367" t="s">
        <v>571</v>
      </c>
      <c r="G367" t="s">
        <v>578</v>
      </c>
      <c r="H367">
        <v>1</v>
      </c>
      <c r="I367">
        <v>9084.66</v>
      </c>
      <c r="J367">
        <v>0</v>
      </c>
      <c r="K367">
        <v>9084.66</v>
      </c>
      <c r="L367">
        <v>6413.77</v>
      </c>
      <c r="M367">
        <v>2670.89</v>
      </c>
    </row>
    <row r="368" spans="1:13" x14ac:dyDescent="0.3">
      <c r="A368" t="s">
        <v>382</v>
      </c>
      <c r="B368" s="1">
        <v>45451</v>
      </c>
      <c r="C368" t="s">
        <v>517</v>
      </c>
      <c r="D368" t="s">
        <v>531</v>
      </c>
      <c r="E368" t="s">
        <v>563</v>
      </c>
      <c r="F368" t="s">
        <v>573</v>
      </c>
      <c r="G368" t="s">
        <v>582</v>
      </c>
      <c r="H368">
        <v>2</v>
      </c>
      <c r="I368">
        <v>9133.9</v>
      </c>
      <c r="J368">
        <v>0</v>
      </c>
      <c r="K368">
        <v>18267.8</v>
      </c>
      <c r="L368">
        <v>14486.37</v>
      </c>
      <c r="M368">
        <v>3781.43</v>
      </c>
    </row>
    <row r="369" spans="1:13" x14ac:dyDescent="0.3">
      <c r="A369" t="s">
        <v>383</v>
      </c>
      <c r="B369" s="1">
        <v>45536</v>
      </c>
      <c r="C369" t="s">
        <v>516</v>
      </c>
      <c r="D369" t="s">
        <v>527</v>
      </c>
      <c r="E369" t="s">
        <v>546</v>
      </c>
      <c r="F369" t="s">
        <v>572</v>
      </c>
      <c r="G369" t="s">
        <v>588</v>
      </c>
      <c r="H369">
        <v>1</v>
      </c>
      <c r="I369">
        <v>934.08</v>
      </c>
      <c r="J369">
        <v>0</v>
      </c>
      <c r="K369">
        <v>934.08</v>
      </c>
      <c r="L369">
        <v>641.71</v>
      </c>
      <c r="M369">
        <v>292.37</v>
      </c>
    </row>
    <row r="370" spans="1:13" x14ac:dyDescent="0.3">
      <c r="A370" t="s">
        <v>384</v>
      </c>
      <c r="B370" s="1">
        <v>45608</v>
      </c>
      <c r="C370" t="s">
        <v>518</v>
      </c>
      <c r="D370" t="s">
        <v>537</v>
      </c>
      <c r="E370" t="s">
        <v>561</v>
      </c>
      <c r="F370" t="s">
        <v>573</v>
      </c>
      <c r="G370" t="s">
        <v>585</v>
      </c>
      <c r="H370">
        <v>1</v>
      </c>
      <c r="I370">
        <v>18134.490000000002</v>
      </c>
      <c r="J370">
        <v>0.1</v>
      </c>
      <c r="K370">
        <v>16321.04</v>
      </c>
      <c r="L370">
        <v>11506.33</v>
      </c>
      <c r="M370">
        <v>4814.71</v>
      </c>
    </row>
    <row r="371" spans="1:13" x14ac:dyDescent="0.3">
      <c r="A371" t="s">
        <v>385</v>
      </c>
      <c r="B371" s="1">
        <v>45827</v>
      </c>
      <c r="C371" t="s">
        <v>517</v>
      </c>
      <c r="D371" t="s">
        <v>531</v>
      </c>
      <c r="E371" t="s">
        <v>551</v>
      </c>
      <c r="F371" t="s">
        <v>572</v>
      </c>
      <c r="G371" t="s">
        <v>583</v>
      </c>
      <c r="H371">
        <v>1</v>
      </c>
      <c r="I371">
        <v>1512.06</v>
      </c>
      <c r="J371">
        <v>0</v>
      </c>
      <c r="K371">
        <v>1512.06</v>
      </c>
      <c r="L371">
        <v>1265.5899999999999</v>
      </c>
      <c r="M371">
        <v>246.47</v>
      </c>
    </row>
    <row r="372" spans="1:13" x14ac:dyDescent="0.3">
      <c r="A372" t="s">
        <v>386</v>
      </c>
      <c r="B372" s="1">
        <v>45412</v>
      </c>
      <c r="C372" t="s">
        <v>516</v>
      </c>
      <c r="D372" t="s">
        <v>521</v>
      </c>
      <c r="E372" t="s">
        <v>568</v>
      </c>
      <c r="F372" t="s">
        <v>572</v>
      </c>
      <c r="G372" t="s">
        <v>587</v>
      </c>
      <c r="H372">
        <v>1</v>
      </c>
      <c r="I372">
        <v>174.55</v>
      </c>
      <c r="J372">
        <v>0</v>
      </c>
      <c r="K372">
        <v>174.55</v>
      </c>
      <c r="L372">
        <v>150.11000000000001</v>
      </c>
      <c r="M372">
        <v>24.44</v>
      </c>
    </row>
    <row r="373" spans="1:13" x14ac:dyDescent="0.3">
      <c r="A373" t="s">
        <v>387</v>
      </c>
      <c r="B373" s="1">
        <v>45882</v>
      </c>
      <c r="C373" t="s">
        <v>516</v>
      </c>
      <c r="D373" t="s">
        <v>522</v>
      </c>
      <c r="E373" t="s">
        <v>545</v>
      </c>
      <c r="F373" t="s">
        <v>573</v>
      </c>
      <c r="G373" t="s">
        <v>580</v>
      </c>
      <c r="H373">
        <v>2</v>
      </c>
      <c r="I373">
        <v>3275.1</v>
      </c>
      <c r="J373">
        <v>0</v>
      </c>
      <c r="K373">
        <v>6550.2</v>
      </c>
      <c r="L373">
        <v>5233.6099999999997</v>
      </c>
      <c r="M373">
        <v>1316.59</v>
      </c>
    </row>
    <row r="374" spans="1:13" x14ac:dyDescent="0.3">
      <c r="A374" t="s">
        <v>388</v>
      </c>
      <c r="B374" s="1">
        <v>45462</v>
      </c>
      <c r="C374" t="s">
        <v>520</v>
      </c>
      <c r="D374" t="s">
        <v>528</v>
      </c>
      <c r="E374" t="s">
        <v>552</v>
      </c>
      <c r="F374" t="s">
        <v>571</v>
      </c>
      <c r="G374" t="s">
        <v>579</v>
      </c>
      <c r="H374">
        <v>1</v>
      </c>
      <c r="I374">
        <v>54907.27</v>
      </c>
      <c r="J374">
        <v>0.15</v>
      </c>
      <c r="K374">
        <v>46671.18</v>
      </c>
      <c r="L374">
        <v>31736.400000000001</v>
      </c>
      <c r="M374">
        <v>14934.78</v>
      </c>
    </row>
    <row r="375" spans="1:13" x14ac:dyDescent="0.3">
      <c r="A375" t="s">
        <v>389</v>
      </c>
      <c r="B375" s="1">
        <v>45813</v>
      </c>
      <c r="C375" t="s">
        <v>516</v>
      </c>
      <c r="D375" t="s">
        <v>525</v>
      </c>
      <c r="E375" t="s">
        <v>557</v>
      </c>
      <c r="F375" t="s">
        <v>571</v>
      </c>
      <c r="G375" t="s">
        <v>575</v>
      </c>
      <c r="H375">
        <v>1</v>
      </c>
      <c r="I375">
        <v>39325.870000000003</v>
      </c>
      <c r="J375">
        <v>0</v>
      </c>
      <c r="K375">
        <v>39325.870000000003</v>
      </c>
      <c r="L375">
        <v>30949.46</v>
      </c>
      <c r="M375">
        <v>8376.41</v>
      </c>
    </row>
    <row r="376" spans="1:13" x14ac:dyDescent="0.3">
      <c r="A376" t="s">
        <v>390</v>
      </c>
      <c r="B376" s="1">
        <v>45445</v>
      </c>
      <c r="C376" t="s">
        <v>518</v>
      </c>
      <c r="D376" t="s">
        <v>537</v>
      </c>
      <c r="E376" t="s">
        <v>569</v>
      </c>
      <c r="F376" t="s">
        <v>571</v>
      </c>
      <c r="G376" t="s">
        <v>578</v>
      </c>
      <c r="H376">
        <v>3</v>
      </c>
      <c r="I376">
        <v>22116.27</v>
      </c>
      <c r="J376">
        <v>0</v>
      </c>
      <c r="K376">
        <v>66348.81</v>
      </c>
      <c r="L376">
        <v>50624.14</v>
      </c>
      <c r="M376">
        <v>15724.67</v>
      </c>
    </row>
    <row r="377" spans="1:13" x14ac:dyDescent="0.3">
      <c r="A377" t="s">
        <v>391</v>
      </c>
      <c r="B377" s="1">
        <v>45619</v>
      </c>
      <c r="C377" t="s">
        <v>520</v>
      </c>
      <c r="D377" t="s">
        <v>528</v>
      </c>
      <c r="E377" t="s">
        <v>552</v>
      </c>
      <c r="F377" t="s">
        <v>571</v>
      </c>
      <c r="G377" t="s">
        <v>579</v>
      </c>
      <c r="H377">
        <v>1</v>
      </c>
      <c r="I377">
        <v>54846.080000000002</v>
      </c>
      <c r="J377">
        <v>0.05</v>
      </c>
      <c r="K377">
        <v>52103.78</v>
      </c>
      <c r="L377">
        <v>34805.33</v>
      </c>
      <c r="M377">
        <v>17298.45</v>
      </c>
    </row>
    <row r="378" spans="1:13" x14ac:dyDescent="0.3">
      <c r="A378" t="s">
        <v>392</v>
      </c>
      <c r="B378" s="1">
        <v>45820</v>
      </c>
      <c r="C378" t="s">
        <v>516</v>
      </c>
      <c r="D378" t="s">
        <v>522</v>
      </c>
      <c r="E378" t="s">
        <v>539</v>
      </c>
      <c r="F378" t="s">
        <v>572</v>
      </c>
      <c r="G378" t="s">
        <v>577</v>
      </c>
      <c r="H378">
        <v>1</v>
      </c>
      <c r="I378">
        <v>1558.38</v>
      </c>
      <c r="J378">
        <v>0</v>
      </c>
      <c r="K378">
        <v>1558.38</v>
      </c>
      <c r="L378">
        <v>1324.62</v>
      </c>
      <c r="M378">
        <v>233.76</v>
      </c>
    </row>
    <row r="379" spans="1:13" x14ac:dyDescent="0.3">
      <c r="A379" t="s">
        <v>393</v>
      </c>
      <c r="B379" s="1">
        <v>45380</v>
      </c>
      <c r="C379" t="s">
        <v>517</v>
      </c>
      <c r="D379" t="s">
        <v>530</v>
      </c>
      <c r="E379" t="s">
        <v>567</v>
      </c>
      <c r="F379" t="s">
        <v>572</v>
      </c>
      <c r="G379" t="s">
        <v>583</v>
      </c>
      <c r="H379">
        <v>1</v>
      </c>
      <c r="I379">
        <v>618.61</v>
      </c>
      <c r="J379">
        <v>0</v>
      </c>
      <c r="K379">
        <v>618.61</v>
      </c>
      <c r="L379">
        <v>440.45</v>
      </c>
      <c r="M379">
        <v>178.16</v>
      </c>
    </row>
    <row r="380" spans="1:13" x14ac:dyDescent="0.3">
      <c r="A380" t="s">
        <v>394</v>
      </c>
      <c r="B380" s="1">
        <v>45540</v>
      </c>
      <c r="C380" t="s">
        <v>519</v>
      </c>
      <c r="D380" t="s">
        <v>532</v>
      </c>
      <c r="E380" t="s">
        <v>554</v>
      </c>
      <c r="F380" t="s">
        <v>571</v>
      </c>
      <c r="G380" t="s">
        <v>579</v>
      </c>
      <c r="H380">
        <v>1</v>
      </c>
      <c r="I380">
        <v>61557.13</v>
      </c>
      <c r="J380">
        <v>0</v>
      </c>
      <c r="K380">
        <v>61557.13</v>
      </c>
      <c r="L380">
        <v>48630.13</v>
      </c>
      <c r="M380">
        <v>12927</v>
      </c>
    </row>
    <row r="381" spans="1:13" x14ac:dyDescent="0.3">
      <c r="A381" t="s">
        <v>395</v>
      </c>
      <c r="B381" s="1">
        <v>45298</v>
      </c>
      <c r="C381" t="s">
        <v>519</v>
      </c>
      <c r="D381" t="s">
        <v>526</v>
      </c>
      <c r="E381" t="s">
        <v>562</v>
      </c>
      <c r="F381" t="s">
        <v>573</v>
      </c>
      <c r="G381" t="s">
        <v>580</v>
      </c>
      <c r="H381">
        <v>3</v>
      </c>
      <c r="I381">
        <v>16626.66</v>
      </c>
      <c r="J381">
        <v>0</v>
      </c>
      <c r="K381">
        <v>49879.98</v>
      </c>
      <c r="L381">
        <v>35564.43</v>
      </c>
      <c r="M381">
        <v>14315.55</v>
      </c>
    </row>
    <row r="382" spans="1:13" x14ac:dyDescent="0.3">
      <c r="A382" t="s">
        <v>396</v>
      </c>
      <c r="B382" s="1">
        <v>45301</v>
      </c>
      <c r="C382" t="s">
        <v>520</v>
      </c>
      <c r="D382" t="s">
        <v>528</v>
      </c>
      <c r="E382" t="s">
        <v>552</v>
      </c>
      <c r="F382" t="s">
        <v>573</v>
      </c>
      <c r="G382" t="s">
        <v>580</v>
      </c>
      <c r="H382">
        <v>1</v>
      </c>
      <c r="I382">
        <v>4390.83</v>
      </c>
      <c r="J382">
        <v>0</v>
      </c>
      <c r="K382">
        <v>4390.83</v>
      </c>
      <c r="L382">
        <v>3758.55</v>
      </c>
      <c r="M382">
        <v>632.28</v>
      </c>
    </row>
    <row r="383" spans="1:13" x14ac:dyDescent="0.3">
      <c r="A383" t="s">
        <v>397</v>
      </c>
      <c r="B383" s="1">
        <v>45535</v>
      </c>
      <c r="C383" t="s">
        <v>519</v>
      </c>
      <c r="D383" t="s">
        <v>534</v>
      </c>
      <c r="E383" t="s">
        <v>566</v>
      </c>
      <c r="F383" t="s">
        <v>571</v>
      </c>
      <c r="G383" t="s">
        <v>578</v>
      </c>
      <c r="H383">
        <v>1</v>
      </c>
      <c r="I383">
        <v>10163.049999999999</v>
      </c>
      <c r="J383">
        <v>0</v>
      </c>
      <c r="K383">
        <v>10163.049999999999</v>
      </c>
      <c r="L383">
        <v>7388.54</v>
      </c>
      <c r="M383">
        <v>2774.51</v>
      </c>
    </row>
    <row r="384" spans="1:13" x14ac:dyDescent="0.3">
      <c r="A384" t="s">
        <v>398</v>
      </c>
      <c r="B384" s="1">
        <v>45824</v>
      </c>
      <c r="C384" t="s">
        <v>519</v>
      </c>
      <c r="D384" t="s">
        <v>532</v>
      </c>
      <c r="E384" t="s">
        <v>554</v>
      </c>
      <c r="F384" t="s">
        <v>573</v>
      </c>
      <c r="G384" t="s">
        <v>582</v>
      </c>
      <c r="H384">
        <v>1</v>
      </c>
      <c r="I384">
        <v>15357.72</v>
      </c>
      <c r="J384">
        <v>0</v>
      </c>
      <c r="K384">
        <v>15357.72</v>
      </c>
      <c r="L384">
        <v>11963.66</v>
      </c>
      <c r="M384">
        <v>3394.06</v>
      </c>
    </row>
    <row r="385" spans="1:13" x14ac:dyDescent="0.3">
      <c r="A385" t="s">
        <v>399</v>
      </c>
      <c r="B385" s="1">
        <v>45695</v>
      </c>
      <c r="C385" t="s">
        <v>516</v>
      </c>
      <c r="D385" t="s">
        <v>525</v>
      </c>
      <c r="E385" t="s">
        <v>542</v>
      </c>
      <c r="F385" t="s">
        <v>573</v>
      </c>
      <c r="G385" t="s">
        <v>585</v>
      </c>
      <c r="H385">
        <v>2</v>
      </c>
      <c r="I385">
        <v>7445.75</v>
      </c>
      <c r="J385">
        <v>0</v>
      </c>
      <c r="K385">
        <v>14891.5</v>
      </c>
      <c r="L385">
        <v>10230.459999999999</v>
      </c>
      <c r="M385">
        <v>4661.04</v>
      </c>
    </row>
    <row r="386" spans="1:13" x14ac:dyDescent="0.3">
      <c r="A386" t="s">
        <v>400</v>
      </c>
      <c r="B386" s="1">
        <v>45614</v>
      </c>
      <c r="C386" t="s">
        <v>519</v>
      </c>
      <c r="D386" t="s">
        <v>532</v>
      </c>
      <c r="E386" t="s">
        <v>554</v>
      </c>
      <c r="F386" t="s">
        <v>572</v>
      </c>
      <c r="G386" t="s">
        <v>577</v>
      </c>
      <c r="H386">
        <v>1</v>
      </c>
      <c r="I386">
        <v>505.54</v>
      </c>
      <c r="J386">
        <v>0</v>
      </c>
      <c r="K386">
        <v>505.54</v>
      </c>
      <c r="L386">
        <v>355.9</v>
      </c>
      <c r="M386">
        <v>149.63999999999999</v>
      </c>
    </row>
    <row r="387" spans="1:13" x14ac:dyDescent="0.3">
      <c r="A387" t="s">
        <v>401</v>
      </c>
      <c r="B387" s="1">
        <v>45431</v>
      </c>
      <c r="C387" t="s">
        <v>517</v>
      </c>
      <c r="D387" t="s">
        <v>536</v>
      </c>
      <c r="E387" t="s">
        <v>560</v>
      </c>
      <c r="F387" t="s">
        <v>571</v>
      </c>
      <c r="G387" t="s">
        <v>574</v>
      </c>
      <c r="H387">
        <v>1</v>
      </c>
      <c r="I387">
        <v>37616.639999999999</v>
      </c>
      <c r="J387">
        <v>0</v>
      </c>
      <c r="K387">
        <v>37616.639999999999</v>
      </c>
      <c r="L387">
        <v>26181.18</v>
      </c>
      <c r="M387">
        <v>11435.46</v>
      </c>
    </row>
    <row r="388" spans="1:13" x14ac:dyDescent="0.3">
      <c r="A388" t="s">
        <v>402</v>
      </c>
      <c r="B388" s="1">
        <v>45415</v>
      </c>
      <c r="C388" t="s">
        <v>517</v>
      </c>
      <c r="D388" t="s">
        <v>531</v>
      </c>
      <c r="E388" t="s">
        <v>551</v>
      </c>
      <c r="F388" t="s">
        <v>572</v>
      </c>
      <c r="G388" t="s">
        <v>577</v>
      </c>
      <c r="H388">
        <v>1</v>
      </c>
      <c r="I388">
        <v>953.53</v>
      </c>
      <c r="J388">
        <v>0</v>
      </c>
      <c r="K388">
        <v>953.53</v>
      </c>
      <c r="L388">
        <v>792.38</v>
      </c>
      <c r="M388">
        <v>161.15</v>
      </c>
    </row>
    <row r="389" spans="1:13" x14ac:dyDescent="0.3">
      <c r="A389" t="s">
        <v>403</v>
      </c>
      <c r="B389" s="1">
        <v>45384</v>
      </c>
      <c r="C389" t="s">
        <v>518</v>
      </c>
      <c r="D389" t="s">
        <v>524</v>
      </c>
      <c r="E389" t="s">
        <v>541</v>
      </c>
      <c r="F389" t="s">
        <v>573</v>
      </c>
      <c r="G389" t="s">
        <v>584</v>
      </c>
      <c r="H389">
        <v>2</v>
      </c>
      <c r="I389">
        <v>2927.59</v>
      </c>
      <c r="J389">
        <v>0</v>
      </c>
      <c r="K389">
        <v>5855.18</v>
      </c>
      <c r="L389">
        <v>5298.94</v>
      </c>
      <c r="M389">
        <v>556.24</v>
      </c>
    </row>
    <row r="390" spans="1:13" x14ac:dyDescent="0.3">
      <c r="A390" t="s">
        <v>404</v>
      </c>
      <c r="B390" s="1">
        <v>45627</v>
      </c>
      <c r="C390" t="s">
        <v>518</v>
      </c>
      <c r="D390" t="s">
        <v>537</v>
      </c>
      <c r="E390" t="s">
        <v>561</v>
      </c>
      <c r="F390" t="s">
        <v>572</v>
      </c>
      <c r="G390" t="s">
        <v>586</v>
      </c>
      <c r="H390">
        <v>1</v>
      </c>
      <c r="I390">
        <v>1051.25</v>
      </c>
      <c r="J390">
        <v>0</v>
      </c>
      <c r="K390">
        <v>1051.25</v>
      </c>
      <c r="L390">
        <v>770.57</v>
      </c>
      <c r="M390">
        <v>280.68</v>
      </c>
    </row>
    <row r="391" spans="1:13" x14ac:dyDescent="0.3">
      <c r="A391" t="s">
        <v>405</v>
      </c>
      <c r="B391" s="1">
        <v>45558</v>
      </c>
      <c r="C391" t="s">
        <v>518</v>
      </c>
      <c r="D391" t="s">
        <v>537</v>
      </c>
      <c r="E391" t="s">
        <v>569</v>
      </c>
      <c r="F391" t="s">
        <v>572</v>
      </c>
      <c r="G391" t="s">
        <v>587</v>
      </c>
      <c r="H391">
        <v>2</v>
      </c>
      <c r="I391">
        <v>1508.75</v>
      </c>
      <c r="J391">
        <v>0</v>
      </c>
      <c r="K391">
        <v>3017.5</v>
      </c>
      <c r="L391">
        <v>2287.2600000000002</v>
      </c>
      <c r="M391">
        <v>730.24</v>
      </c>
    </row>
    <row r="392" spans="1:13" x14ac:dyDescent="0.3">
      <c r="A392" t="s">
        <v>406</v>
      </c>
      <c r="B392" s="1">
        <v>45765</v>
      </c>
      <c r="C392" t="s">
        <v>516</v>
      </c>
      <c r="D392" t="s">
        <v>527</v>
      </c>
      <c r="E392" t="s">
        <v>546</v>
      </c>
      <c r="F392" t="s">
        <v>571</v>
      </c>
      <c r="G392" t="s">
        <v>575</v>
      </c>
      <c r="H392">
        <v>2</v>
      </c>
      <c r="I392">
        <v>66938.67</v>
      </c>
      <c r="J392">
        <v>0</v>
      </c>
      <c r="K392">
        <v>133877.34</v>
      </c>
      <c r="L392">
        <v>105361.47</v>
      </c>
      <c r="M392">
        <v>28515.87</v>
      </c>
    </row>
    <row r="393" spans="1:13" x14ac:dyDescent="0.3">
      <c r="A393" t="s">
        <v>407</v>
      </c>
      <c r="B393" s="1">
        <v>45425</v>
      </c>
      <c r="C393" t="s">
        <v>518</v>
      </c>
      <c r="D393" t="s">
        <v>529</v>
      </c>
      <c r="E393" t="s">
        <v>553</v>
      </c>
      <c r="F393" t="s">
        <v>573</v>
      </c>
      <c r="G393" t="s">
        <v>582</v>
      </c>
      <c r="H393">
        <v>1</v>
      </c>
      <c r="I393">
        <v>15393.45</v>
      </c>
      <c r="J393">
        <v>0</v>
      </c>
      <c r="K393">
        <v>15393.45</v>
      </c>
      <c r="L393">
        <v>13022.86</v>
      </c>
      <c r="M393">
        <v>2370.59</v>
      </c>
    </row>
    <row r="394" spans="1:13" x14ac:dyDescent="0.3">
      <c r="A394" t="s">
        <v>408</v>
      </c>
      <c r="B394" s="1">
        <v>45368</v>
      </c>
      <c r="C394" t="s">
        <v>516</v>
      </c>
      <c r="D394" t="s">
        <v>525</v>
      </c>
      <c r="E394" t="s">
        <v>557</v>
      </c>
      <c r="F394" t="s">
        <v>573</v>
      </c>
      <c r="G394" t="s">
        <v>581</v>
      </c>
      <c r="H394">
        <v>1</v>
      </c>
      <c r="I394">
        <v>20613.87</v>
      </c>
      <c r="J394">
        <v>0.1</v>
      </c>
      <c r="K394">
        <v>18552.48</v>
      </c>
      <c r="L394">
        <v>12560.03</v>
      </c>
      <c r="M394">
        <v>5992.45</v>
      </c>
    </row>
    <row r="395" spans="1:13" x14ac:dyDescent="0.3">
      <c r="A395" t="s">
        <v>409</v>
      </c>
      <c r="B395" s="1">
        <v>45417</v>
      </c>
      <c r="C395" t="s">
        <v>516</v>
      </c>
      <c r="D395" t="s">
        <v>522</v>
      </c>
      <c r="E395" t="s">
        <v>539</v>
      </c>
      <c r="F395" t="s">
        <v>571</v>
      </c>
      <c r="G395" t="s">
        <v>579</v>
      </c>
      <c r="H395">
        <v>1</v>
      </c>
      <c r="I395">
        <v>36353.040000000001</v>
      </c>
      <c r="J395">
        <v>0</v>
      </c>
      <c r="K395">
        <v>36353.040000000001</v>
      </c>
      <c r="L395">
        <v>30173.02</v>
      </c>
      <c r="M395">
        <v>6180.02</v>
      </c>
    </row>
    <row r="396" spans="1:13" x14ac:dyDescent="0.3">
      <c r="A396" t="s">
        <v>410</v>
      </c>
      <c r="B396" s="1">
        <v>45800</v>
      </c>
      <c r="C396" t="s">
        <v>516</v>
      </c>
      <c r="D396" t="s">
        <v>522</v>
      </c>
      <c r="E396" t="s">
        <v>545</v>
      </c>
      <c r="F396" t="s">
        <v>571</v>
      </c>
      <c r="G396" t="s">
        <v>578</v>
      </c>
      <c r="H396">
        <v>1</v>
      </c>
      <c r="I396">
        <v>19533.14</v>
      </c>
      <c r="J396">
        <v>0.1</v>
      </c>
      <c r="K396">
        <v>17579.830000000002</v>
      </c>
      <c r="L396">
        <v>11708.17</v>
      </c>
      <c r="M396">
        <v>5871.66</v>
      </c>
    </row>
    <row r="397" spans="1:13" x14ac:dyDescent="0.3">
      <c r="A397" t="s">
        <v>411</v>
      </c>
      <c r="B397" s="1">
        <v>45748</v>
      </c>
      <c r="C397" t="s">
        <v>518</v>
      </c>
      <c r="D397" t="s">
        <v>537</v>
      </c>
      <c r="E397" t="s">
        <v>561</v>
      </c>
      <c r="F397" t="s">
        <v>573</v>
      </c>
      <c r="G397" t="s">
        <v>580</v>
      </c>
      <c r="H397">
        <v>1</v>
      </c>
      <c r="I397">
        <v>13474.51</v>
      </c>
      <c r="J397">
        <v>0</v>
      </c>
      <c r="K397">
        <v>13474.51</v>
      </c>
      <c r="L397">
        <v>10429.27</v>
      </c>
      <c r="M397">
        <v>3045.24</v>
      </c>
    </row>
    <row r="398" spans="1:13" x14ac:dyDescent="0.3">
      <c r="A398" t="s">
        <v>412</v>
      </c>
      <c r="B398" s="1">
        <v>45782</v>
      </c>
      <c r="C398" t="s">
        <v>516</v>
      </c>
      <c r="D398" t="s">
        <v>525</v>
      </c>
      <c r="E398" t="s">
        <v>542</v>
      </c>
      <c r="F398" t="s">
        <v>572</v>
      </c>
      <c r="G398" t="s">
        <v>583</v>
      </c>
      <c r="H398">
        <v>1</v>
      </c>
      <c r="I398">
        <v>867.51</v>
      </c>
      <c r="J398">
        <v>0</v>
      </c>
      <c r="K398">
        <v>867.51</v>
      </c>
      <c r="L398">
        <v>665.38</v>
      </c>
      <c r="M398">
        <v>202.13</v>
      </c>
    </row>
    <row r="399" spans="1:13" x14ac:dyDescent="0.3">
      <c r="A399" t="s">
        <v>413</v>
      </c>
      <c r="B399" s="1">
        <v>45830</v>
      </c>
      <c r="C399" t="s">
        <v>518</v>
      </c>
      <c r="D399" t="s">
        <v>524</v>
      </c>
      <c r="E399" t="s">
        <v>550</v>
      </c>
      <c r="F399" t="s">
        <v>572</v>
      </c>
      <c r="G399" t="s">
        <v>577</v>
      </c>
      <c r="H399">
        <v>1</v>
      </c>
      <c r="I399">
        <v>985.38</v>
      </c>
      <c r="J399">
        <v>0</v>
      </c>
      <c r="K399">
        <v>985.38</v>
      </c>
      <c r="L399">
        <v>677.94</v>
      </c>
      <c r="M399">
        <v>307.44</v>
      </c>
    </row>
    <row r="400" spans="1:13" x14ac:dyDescent="0.3">
      <c r="A400" t="s">
        <v>414</v>
      </c>
      <c r="B400" s="1">
        <v>45644</v>
      </c>
      <c r="C400" t="s">
        <v>517</v>
      </c>
      <c r="D400" t="s">
        <v>531</v>
      </c>
      <c r="E400" t="s">
        <v>563</v>
      </c>
      <c r="F400" t="s">
        <v>572</v>
      </c>
      <c r="G400" t="s">
        <v>583</v>
      </c>
      <c r="H400">
        <v>4</v>
      </c>
      <c r="I400">
        <v>100.82</v>
      </c>
      <c r="J400">
        <v>0</v>
      </c>
      <c r="K400">
        <v>403.28</v>
      </c>
      <c r="L400">
        <v>314.56</v>
      </c>
      <c r="M400">
        <v>88.72</v>
      </c>
    </row>
    <row r="401" spans="1:13" x14ac:dyDescent="0.3">
      <c r="A401" t="s">
        <v>415</v>
      </c>
      <c r="B401" s="1">
        <v>45322</v>
      </c>
      <c r="C401" t="s">
        <v>520</v>
      </c>
      <c r="D401" t="s">
        <v>528</v>
      </c>
      <c r="E401" t="s">
        <v>552</v>
      </c>
      <c r="F401" t="s">
        <v>573</v>
      </c>
      <c r="G401" t="s">
        <v>580</v>
      </c>
      <c r="H401">
        <v>2</v>
      </c>
      <c r="I401">
        <v>19637.37</v>
      </c>
      <c r="J401">
        <v>0</v>
      </c>
      <c r="K401">
        <v>39274.74</v>
      </c>
      <c r="L401">
        <v>26431.9</v>
      </c>
      <c r="M401">
        <v>12842.84</v>
      </c>
    </row>
    <row r="402" spans="1:13" x14ac:dyDescent="0.3">
      <c r="A402" t="s">
        <v>416</v>
      </c>
      <c r="B402" s="1">
        <v>45455</v>
      </c>
      <c r="C402" t="s">
        <v>516</v>
      </c>
      <c r="D402" t="s">
        <v>527</v>
      </c>
      <c r="E402" t="s">
        <v>546</v>
      </c>
      <c r="F402" t="s">
        <v>572</v>
      </c>
      <c r="G402" t="s">
        <v>587</v>
      </c>
      <c r="H402">
        <v>2</v>
      </c>
      <c r="I402">
        <v>1641.76</v>
      </c>
      <c r="J402">
        <v>0</v>
      </c>
      <c r="K402">
        <v>3283.52</v>
      </c>
      <c r="L402">
        <v>2968.3</v>
      </c>
      <c r="M402">
        <v>315.22000000000003</v>
      </c>
    </row>
    <row r="403" spans="1:13" x14ac:dyDescent="0.3">
      <c r="A403" t="s">
        <v>417</v>
      </c>
      <c r="B403" s="1">
        <v>45349</v>
      </c>
      <c r="C403" t="s">
        <v>518</v>
      </c>
      <c r="D403" t="s">
        <v>524</v>
      </c>
      <c r="E403" t="s">
        <v>541</v>
      </c>
      <c r="F403" t="s">
        <v>572</v>
      </c>
      <c r="G403" t="s">
        <v>583</v>
      </c>
      <c r="H403">
        <v>1</v>
      </c>
      <c r="I403">
        <v>393.4</v>
      </c>
      <c r="J403">
        <v>0</v>
      </c>
      <c r="K403">
        <v>393.4</v>
      </c>
      <c r="L403">
        <v>302.13</v>
      </c>
      <c r="M403">
        <v>91.27</v>
      </c>
    </row>
    <row r="404" spans="1:13" x14ac:dyDescent="0.3">
      <c r="A404" t="s">
        <v>418</v>
      </c>
      <c r="B404" s="1">
        <v>45659</v>
      </c>
      <c r="C404" t="s">
        <v>517</v>
      </c>
      <c r="D404" t="s">
        <v>536</v>
      </c>
      <c r="E404" t="s">
        <v>560</v>
      </c>
      <c r="F404" t="s">
        <v>573</v>
      </c>
      <c r="G404" t="s">
        <v>584</v>
      </c>
      <c r="H404">
        <v>1</v>
      </c>
      <c r="I404">
        <v>5268.35</v>
      </c>
      <c r="J404">
        <v>0</v>
      </c>
      <c r="K404">
        <v>5268.35</v>
      </c>
      <c r="L404">
        <v>3840.63</v>
      </c>
      <c r="M404">
        <v>1427.72</v>
      </c>
    </row>
    <row r="405" spans="1:13" x14ac:dyDescent="0.3">
      <c r="A405" t="s">
        <v>419</v>
      </c>
      <c r="B405" s="1">
        <v>45796</v>
      </c>
      <c r="C405" t="s">
        <v>517</v>
      </c>
      <c r="D405" t="s">
        <v>531</v>
      </c>
      <c r="E405" t="s">
        <v>551</v>
      </c>
      <c r="F405" t="s">
        <v>572</v>
      </c>
      <c r="G405" t="s">
        <v>588</v>
      </c>
      <c r="H405">
        <v>4</v>
      </c>
      <c r="I405">
        <v>226</v>
      </c>
      <c r="J405">
        <v>0</v>
      </c>
      <c r="K405">
        <v>904</v>
      </c>
      <c r="L405">
        <v>607.49</v>
      </c>
      <c r="M405">
        <v>296.51</v>
      </c>
    </row>
    <row r="406" spans="1:13" x14ac:dyDescent="0.3">
      <c r="A406" t="s">
        <v>420</v>
      </c>
      <c r="B406" s="1">
        <v>45516</v>
      </c>
      <c r="C406" t="s">
        <v>516</v>
      </c>
      <c r="D406" t="s">
        <v>522</v>
      </c>
      <c r="E406" t="s">
        <v>539</v>
      </c>
      <c r="F406" t="s">
        <v>572</v>
      </c>
      <c r="G406" t="s">
        <v>587</v>
      </c>
      <c r="H406">
        <v>1</v>
      </c>
      <c r="I406">
        <v>442.86</v>
      </c>
      <c r="J406">
        <v>0.15</v>
      </c>
      <c r="K406">
        <v>376.43</v>
      </c>
      <c r="L406">
        <v>344.81</v>
      </c>
      <c r="M406">
        <v>31.62</v>
      </c>
    </row>
    <row r="407" spans="1:13" x14ac:dyDescent="0.3">
      <c r="A407" t="s">
        <v>421</v>
      </c>
      <c r="B407" s="1">
        <v>45473</v>
      </c>
      <c r="C407" t="s">
        <v>520</v>
      </c>
      <c r="D407" t="s">
        <v>528</v>
      </c>
      <c r="E407" t="s">
        <v>547</v>
      </c>
      <c r="F407" t="s">
        <v>571</v>
      </c>
      <c r="G407" t="s">
        <v>579</v>
      </c>
      <c r="H407">
        <v>5</v>
      </c>
      <c r="I407">
        <v>57261.62</v>
      </c>
      <c r="J407">
        <v>0.05</v>
      </c>
      <c r="K407">
        <v>271992.7</v>
      </c>
      <c r="L407">
        <v>189850.9</v>
      </c>
      <c r="M407">
        <v>82141.8</v>
      </c>
    </row>
    <row r="408" spans="1:13" x14ac:dyDescent="0.3">
      <c r="A408" t="s">
        <v>422</v>
      </c>
      <c r="B408" s="1">
        <v>45830</v>
      </c>
      <c r="C408" t="s">
        <v>520</v>
      </c>
      <c r="D408" t="s">
        <v>528</v>
      </c>
      <c r="E408" t="s">
        <v>552</v>
      </c>
      <c r="F408" t="s">
        <v>573</v>
      </c>
      <c r="G408" t="s">
        <v>581</v>
      </c>
      <c r="H408">
        <v>1</v>
      </c>
      <c r="I408">
        <v>15478.38</v>
      </c>
      <c r="J408">
        <v>0</v>
      </c>
      <c r="K408">
        <v>15478.38</v>
      </c>
      <c r="L408">
        <v>10432.43</v>
      </c>
      <c r="M408">
        <v>5045.95</v>
      </c>
    </row>
    <row r="409" spans="1:13" x14ac:dyDescent="0.3">
      <c r="A409" t="s">
        <v>423</v>
      </c>
      <c r="B409" s="1">
        <v>45622</v>
      </c>
      <c r="C409" t="s">
        <v>518</v>
      </c>
      <c r="D409" t="s">
        <v>537</v>
      </c>
      <c r="E409" t="s">
        <v>569</v>
      </c>
      <c r="F409" t="s">
        <v>573</v>
      </c>
      <c r="G409" t="s">
        <v>581</v>
      </c>
      <c r="H409">
        <v>3</v>
      </c>
      <c r="I409">
        <v>16931.150000000001</v>
      </c>
      <c r="J409">
        <v>0.15</v>
      </c>
      <c r="K409">
        <v>43174.43</v>
      </c>
      <c r="L409">
        <v>34280.5</v>
      </c>
      <c r="M409">
        <v>8893.93</v>
      </c>
    </row>
    <row r="410" spans="1:13" x14ac:dyDescent="0.3">
      <c r="A410" t="s">
        <v>424</v>
      </c>
      <c r="B410" s="1">
        <v>45657</v>
      </c>
      <c r="C410" t="s">
        <v>518</v>
      </c>
      <c r="D410" t="s">
        <v>524</v>
      </c>
      <c r="E410" t="s">
        <v>550</v>
      </c>
      <c r="F410" t="s">
        <v>572</v>
      </c>
      <c r="G410" t="s">
        <v>577</v>
      </c>
      <c r="H410">
        <v>1</v>
      </c>
      <c r="I410">
        <v>1481.29</v>
      </c>
      <c r="J410">
        <v>0</v>
      </c>
      <c r="K410">
        <v>1481.29</v>
      </c>
      <c r="L410">
        <v>1229.47</v>
      </c>
      <c r="M410">
        <v>251.82</v>
      </c>
    </row>
    <row r="411" spans="1:13" x14ac:dyDescent="0.3">
      <c r="A411" t="s">
        <v>425</v>
      </c>
      <c r="B411" s="1">
        <v>45473</v>
      </c>
      <c r="C411" t="s">
        <v>516</v>
      </c>
      <c r="D411" t="s">
        <v>522</v>
      </c>
      <c r="E411" t="s">
        <v>539</v>
      </c>
      <c r="F411" t="s">
        <v>571</v>
      </c>
      <c r="G411" t="s">
        <v>579</v>
      </c>
      <c r="H411">
        <v>1</v>
      </c>
      <c r="I411">
        <v>27502.7</v>
      </c>
      <c r="J411">
        <v>0</v>
      </c>
      <c r="K411">
        <v>27502.7</v>
      </c>
      <c r="L411">
        <v>23349.79</v>
      </c>
      <c r="M411">
        <v>4152.91</v>
      </c>
    </row>
    <row r="412" spans="1:13" x14ac:dyDescent="0.3">
      <c r="A412" t="s">
        <v>426</v>
      </c>
      <c r="B412" s="1">
        <v>45518</v>
      </c>
      <c r="C412" t="s">
        <v>517</v>
      </c>
      <c r="D412" t="s">
        <v>536</v>
      </c>
      <c r="E412" t="s">
        <v>560</v>
      </c>
      <c r="F412" t="s">
        <v>571</v>
      </c>
      <c r="G412" t="s">
        <v>578</v>
      </c>
      <c r="H412">
        <v>2</v>
      </c>
      <c r="I412">
        <v>60391.44</v>
      </c>
      <c r="J412">
        <v>0</v>
      </c>
      <c r="K412">
        <v>120782.88</v>
      </c>
      <c r="L412">
        <v>114622.95</v>
      </c>
      <c r="M412">
        <v>6159.93</v>
      </c>
    </row>
    <row r="413" spans="1:13" x14ac:dyDescent="0.3">
      <c r="A413" t="s">
        <v>427</v>
      </c>
      <c r="B413" s="1">
        <v>45619</v>
      </c>
      <c r="C413" t="s">
        <v>518</v>
      </c>
      <c r="D413" t="s">
        <v>524</v>
      </c>
      <c r="E413" t="s">
        <v>550</v>
      </c>
      <c r="F413" t="s">
        <v>573</v>
      </c>
      <c r="G413" t="s">
        <v>580</v>
      </c>
      <c r="H413">
        <v>1</v>
      </c>
      <c r="I413">
        <v>12272.49</v>
      </c>
      <c r="J413">
        <v>0</v>
      </c>
      <c r="K413">
        <v>12272.49</v>
      </c>
      <c r="L413">
        <v>10198.44</v>
      </c>
      <c r="M413">
        <v>2074.0500000000002</v>
      </c>
    </row>
    <row r="414" spans="1:13" x14ac:dyDescent="0.3">
      <c r="A414" t="s">
        <v>428</v>
      </c>
      <c r="B414" s="1">
        <v>45547</v>
      </c>
      <c r="C414" t="s">
        <v>516</v>
      </c>
      <c r="D414" t="s">
        <v>521</v>
      </c>
      <c r="E414" t="s">
        <v>568</v>
      </c>
      <c r="F414" t="s">
        <v>571</v>
      </c>
      <c r="G414" t="s">
        <v>575</v>
      </c>
      <c r="H414">
        <v>1</v>
      </c>
      <c r="I414">
        <v>6707.35</v>
      </c>
      <c r="J414">
        <v>0</v>
      </c>
      <c r="K414">
        <v>6707.35</v>
      </c>
      <c r="L414">
        <v>4520.75</v>
      </c>
      <c r="M414">
        <v>2186.6</v>
      </c>
    </row>
    <row r="415" spans="1:13" x14ac:dyDescent="0.3">
      <c r="A415" t="s">
        <v>429</v>
      </c>
      <c r="B415" s="1">
        <v>45721</v>
      </c>
      <c r="C415" t="s">
        <v>518</v>
      </c>
      <c r="D415" t="s">
        <v>529</v>
      </c>
      <c r="E415" t="s">
        <v>553</v>
      </c>
      <c r="F415" t="s">
        <v>572</v>
      </c>
      <c r="G415" t="s">
        <v>577</v>
      </c>
      <c r="H415">
        <v>1</v>
      </c>
      <c r="I415">
        <v>1114.75</v>
      </c>
      <c r="J415">
        <v>0.1</v>
      </c>
      <c r="K415">
        <v>1003.27</v>
      </c>
      <c r="L415">
        <v>848.77</v>
      </c>
      <c r="M415">
        <v>154.5</v>
      </c>
    </row>
    <row r="416" spans="1:13" x14ac:dyDescent="0.3">
      <c r="A416" t="s">
        <v>430</v>
      </c>
      <c r="B416" s="1">
        <v>45883</v>
      </c>
      <c r="C416" t="s">
        <v>518</v>
      </c>
      <c r="D416" t="s">
        <v>537</v>
      </c>
      <c r="E416" t="s">
        <v>569</v>
      </c>
      <c r="F416" t="s">
        <v>571</v>
      </c>
      <c r="G416" t="s">
        <v>575</v>
      </c>
      <c r="H416">
        <v>2</v>
      </c>
      <c r="I416">
        <v>25707.96</v>
      </c>
      <c r="J416">
        <v>0</v>
      </c>
      <c r="K416">
        <v>51415.92</v>
      </c>
      <c r="L416">
        <v>41852.559999999998</v>
      </c>
      <c r="M416">
        <v>9563.36</v>
      </c>
    </row>
    <row r="417" spans="1:13" x14ac:dyDescent="0.3">
      <c r="A417" t="s">
        <v>431</v>
      </c>
      <c r="B417" s="1">
        <v>45399</v>
      </c>
      <c r="C417" t="s">
        <v>516</v>
      </c>
      <c r="D417" t="s">
        <v>521</v>
      </c>
      <c r="E417" t="s">
        <v>538</v>
      </c>
      <c r="F417" t="s">
        <v>572</v>
      </c>
      <c r="G417" t="s">
        <v>583</v>
      </c>
      <c r="H417">
        <v>1</v>
      </c>
      <c r="I417">
        <v>1477.37</v>
      </c>
      <c r="J417">
        <v>0</v>
      </c>
      <c r="K417">
        <v>1477.37</v>
      </c>
      <c r="L417">
        <v>1202.58</v>
      </c>
      <c r="M417">
        <v>274.79000000000002</v>
      </c>
    </row>
    <row r="418" spans="1:13" x14ac:dyDescent="0.3">
      <c r="A418" t="s">
        <v>432</v>
      </c>
      <c r="B418" s="1">
        <v>45387</v>
      </c>
      <c r="C418" t="s">
        <v>520</v>
      </c>
      <c r="D418" t="s">
        <v>535</v>
      </c>
      <c r="E418" t="s">
        <v>565</v>
      </c>
      <c r="F418" t="s">
        <v>572</v>
      </c>
      <c r="G418" t="s">
        <v>583</v>
      </c>
      <c r="H418">
        <v>1</v>
      </c>
      <c r="I418">
        <v>1234.27</v>
      </c>
      <c r="J418">
        <v>0</v>
      </c>
      <c r="K418">
        <v>1234.27</v>
      </c>
      <c r="L418">
        <v>1107.1400000000001</v>
      </c>
      <c r="M418">
        <v>127.13</v>
      </c>
    </row>
    <row r="419" spans="1:13" x14ac:dyDescent="0.3">
      <c r="A419" t="s">
        <v>433</v>
      </c>
      <c r="B419" s="1">
        <v>45346</v>
      </c>
      <c r="C419" t="s">
        <v>516</v>
      </c>
      <c r="D419" t="s">
        <v>521</v>
      </c>
      <c r="E419" t="s">
        <v>538</v>
      </c>
      <c r="F419" t="s">
        <v>571</v>
      </c>
      <c r="G419" t="s">
        <v>576</v>
      </c>
      <c r="H419">
        <v>1</v>
      </c>
      <c r="I419">
        <v>56684.15</v>
      </c>
      <c r="J419">
        <v>0</v>
      </c>
      <c r="K419">
        <v>56684.15</v>
      </c>
      <c r="L419">
        <v>46707.74</v>
      </c>
      <c r="M419">
        <v>9976.41</v>
      </c>
    </row>
    <row r="420" spans="1:13" x14ac:dyDescent="0.3">
      <c r="A420" t="s">
        <v>434</v>
      </c>
      <c r="B420" s="1">
        <v>45845</v>
      </c>
      <c r="C420" t="s">
        <v>520</v>
      </c>
      <c r="D420" t="s">
        <v>535</v>
      </c>
      <c r="E420" t="s">
        <v>559</v>
      </c>
      <c r="F420" t="s">
        <v>571</v>
      </c>
      <c r="G420" t="s">
        <v>575</v>
      </c>
      <c r="H420">
        <v>3</v>
      </c>
      <c r="I420">
        <v>6821.93</v>
      </c>
      <c r="J420">
        <v>0</v>
      </c>
      <c r="K420">
        <v>20465.79</v>
      </c>
      <c r="L420">
        <v>17211.73</v>
      </c>
      <c r="M420">
        <v>3254.06</v>
      </c>
    </row>
    <row r="421" spans="1:13" x14ac:dyDescent="0.3">
      <c r="A421" t="s">
        <v>435</v>
      </c>
      <c r="B421" s="1">
        <v>45794</v>
      </c>
      <c r="C421" t="s">
        <v>518</v>
      </c>
      <c r="D421" t="s">
        <v>537</v>
      </c>
      <c r="E421" t="s">
        <v>569</v>
      </c>
      <c r="F421" t="s">
        <v>571</v>
      </c>
      <c r="G421" t="s">
        <v>576</v>
      </c>
      <c r="H421">
        <v>1</v>
      </c>
      <c r="I421">
        <v>9747.3799999999992</v>
      </c>
      <c r="J421">
        <v>0</v>
      </c>
      <c r="K421">
        <v>9747.3799999999992</v>
      </c>
      <c r="L421">
        <v>7408.01</v>
      </c>
      <c r="M421">
        <v>2339.37</v>
      </c>
    </row>
    <row r="422" spans="1:13" x14ac:dyDescent="0.3">
      <c r="A422" t="s">
        <v>436</v>
      </c>
      <c r="B422" s="1">
        <v>45783</v>
      </c>
      <c r="C422" t="s">
        <v>518</v>
      </c>
      <c r="D422" t="s">
        <v>537</v>
      </c>
      <c r="E422" t="s">
        <v>561</v>
      </c>
      <c r="F422" t="s">
        <v>571</v>
      </c>
      <c r="G422" t="s">
        <v>574</v>
      </c>
      <c r="H422">
        <v>1</v>
      </c>
      <c r="I422">
        <v>52140.68</v>
      </c>
      <c r="J422">
        <v>0</v>
      </c>
      <c r="K422">
        <v>52140.68</v>
      </c>
      <c r="L422">
        <v>39157.65</v>
      </c>
      <c r="M422">
        <v>12983.03</v>
      </c>
    </row>
    <row r="423" spans="1:13" x14ac:dyDescent="0.3">
      <c r="A423" t="s">
        <v>437</v>
      </c>
      <c r="B423" s="1">
        <v>45776</v>
      </c>
      <c r="C423" t="s">
        <v>516</v>
      </c>
      <c r="D423" t="s">
        <v>521</v>
      </c>
      <c r="E423" t="s">
        <v>568</v>
      </c>
      <c r="F423" t="s">
        <v>572</v>
      </c>
      <c r="G423" t="s">
        <v>586</v>
      </c>
      <c r="H423">
        <v>1</v>
      </c>
      <c r="I423">
        <v>1795.01</v>
      </c>
      <c r="J423">
        <v>0</v>
      </c>
      <c r="K423">
        <v>1795.01</v>
      </c>
      <c r="L423">
        <v>1188.3</v>
      </c>
      <c r="M423">
        <v>606.71</v>
      </c>
    </row>
    <row r="424" spans="1:13" x14ac:dyDescent="0.3">
      <c r="A424" t="s">
        <v>438</v>
      </c>
      <c r="B424" s="1">
        <v>45849</v>
      </c>
      <c r="C424" t="s">
        <v>519</v>
      </c>
      <c r="D424" t="s">
        <v>533</v>
      </c>
      <c r="E424" t="s">
        <v>555</v>
      </c>
      <c r="F424" t="s">
        <v>572</v>
      </c>
      <c r="G424" t="s">
        <v>577</v>
      </c>
      <c r="H424">
        <v>1</v>
      </c>
      <c r="I424">
        <v>413.84</v>
      </c>
      <c r="J424">
        <v>0.1</v>
      </c>
      <c r="K424">
        <v>372.46</v>
      </c>
      <c r="L424">
        <v>307.64999999999998</v>
      </c>
      <c r="M424">
        <v>64.81</v>
      </c>
    </row>
    <row r="425" spans="1:13" x14ac:dyDescent="0.3">
      <c r="A425" t="s">
        <v>439</v>
      </c>
      <c r="B425" s="1">
        <v>45768</v>
      </c>
      <c r="C425" t="s">
        <v>520</v>
      </c>
      <c r="D425" t="s">
        <v>528</v>
      </c>
      <c r="E425" t="s">
        <v>552</v>
      </c>
      <c r="F425" t="s">
        <v>573</v>
      </c>
      <c r="G425" t="s">
        <v>582</v>
      </c>
      <c r="H425">
        <v>1</v>
      </c>
      <c r="I425">
        <v>5476.01</v>
      </c>
      <c r="J425">
        <v>0</v>
      </c>
      <c r="K425">
        <v>5476.01</v>
      </c>
      <c r="L425">
        <v>3564.88</v>
      </c>
      <c r="M425">
        <v>1911.13</v>
      </c>
    </row>
    <row r="426" spans="1:13" x14ac:dyDescent="0.3">
      <c r="A426" t="s">
        <v>440</v>
      </c>
      <c r="B426" s="1">
        <v>45391</v>
      </c>
      <c r="C426" t="s">
        <v>516</v>
      </c>
      <c r="D426" t="s">
        <v>521</v>
      </c>
      <c r="E426" t="s">
        <v>568</v>
      </c>
      <c r="F426" t="s">
        <v>573</v>
      </c>
      <c r="G426" t="s">
        <v>585</v>
      </c>
      <c r="H426">
        <v>1</v>
      </c>
      <c r="I426">
        <v>14732.84</v>
      </c>
      <c r="J426">
        <v>0</v>
      </c>
      <c r="K426">
        <v>14732.84</v>
      </c>
      <c r="L426">
        <v>11359.02</v>
      </c>
      <c r="M426">
        <v>3373.82</v>
      </c>
    </row>
    <row r="427" spans="1:13" x14ac:dyDescent="0.3">
      <c r="A427" t="s">
        <v>441</v>
      </c>
      <c r="B427" s="1">
        <v>45827</v>
      </c>
      <c r="C427" t="s">
        <v>519</v>
      </c>
      <c r="D427" t="s">
        <v>534</v>
      </c>
      <c r="E427" t="s">
        <v>566</v>
      </c>
      <c r="F427" t="s">
        <v>572</v>
      </c>
      <c r="G427" t="s">
        <v>577</v>
      </c>
      <c r="H427">
        <v>1</v>
      </c>
      <c r="I427">
        <v>203.96</v>
      </c>
      <c r="J427">
        <v>0</v>
      </c>
      <c r="K427">
        <v>203.96</v>
      </c>
      <c r="L427">
        <v>147.87</v>
      </c>
      <c r="M427">
        <v>56.09</v>
      </c>
    </row>
    <row r="428" spans="1:13" x14ac:dyDescent="0.3">
      <c r="A428" t="s">
        <v>442</v>
      </c>
      <c r="B428" s="1">
        <v>45327</v>
      </c>
      <c r="C428" t="s">
        <v>517</v>
      </c>
      <c r="D428" t="s">
        <v>523</v>
      </c>
      <c r="E428" t="s">
        <v>544</v>
      </c>
      <c r="F428" t="s">
        <v>572</v>
      </c>
      <c r="G428" t="s">
        <v>583</v>
      </c>
      <c r="H428">
        <v>1</v>
      </c>
      <c r="I428">
        <v>1900.67</v>
      </c>
      <c r="J428">
        <v>0.05</v>
      </c>
      <c r="K428">
        <v>1805.64</v>
      </c>
      <c r="L428">
        <v>1229.6400000000001</v>
      </c>
      <c r="M428">
        <v>576</v>
      </c>
    </row>
    <row r="429" spans="1:13" x14ac:dyDescent="0.3">
      <c r="A429" t="s">
        <v>443</v>
      </c>
      <c r="B429" s="1">
        <v>45489</v>
      </c>
      <c r="C429" t="s">
        <v>518</v>
      </c>
      <c r="D429" t="s">
        <v>537</v>
      </c>
      <c r="E429" t="s">
        <v>569</v>
      </c>
      <c r="F429" t="s">
        <v>571</v>
      </c>
      <c r="G429" t="s">
        <v>576</v>
      </c>
      <c r="H429">
        <v>1</v>
      </c>
      <c r="I429">
        <v>18547.78</v>
      </c>
      <c r="J429">
        <v>0</v>
      </c>
      <c r="K429">
        <v>18547.78</v>
      </c>
      <c r="L429">
        <v>16563.169999999998</v>
      </c>
      <c r="M429">
        <v>1984.61</v>
      </c>
    </row>
    <row r="430" spans="1:13" x14ac:dyDescent="0.3">
      <c r="A430" t="s">
        <v>444</v>
      </c>
      <c r="B430" s="1">
        <v>45443</v>
      </c>
      <c r="C430" t="s">
        <v>517</v>
      </c>
      <c r="D430" t="s">
        <v>531</v>
      </c>
      <c r="E430" t="s">
        <v>563</v>
      </c>
      <c r="F430" t="s">
        <v>573</v>
      </c>
      <c r="G430" t="s">
        <v>582</v>
      </c>
      <c r="H430">
        <v>1</v>
      </c>
      <c r="I430">
        <v>4001.63</v>
      </c>
      <c r="J430">
        <v>0</v>
      </c>
      <c r="K430">
        <v>4001.63</v>
      </c>
      <c r="L430">
        <v>3233.32</v>
      </c>
      <c r="M430">
        <v>768.31</v>
      </c>
    </row>
    <row r="431" spans="1:13" x14ac:dyDescent="0.3">
      <c r="A431" t="s">
        <v>445</v>
      </c>
      <c r="B431" s="1">
        <v>45857</v>
      </c>
      <c r="C431" t="s">
        <v>520</v>
      </c>
      <c r="D431" t="s">
        <v>535</v>
      </c>
      <c r="E431" t="s">
        <v>559</v>
      </c>
      <c r="F431" t="s">
        <v>571</v>
      </c>
      <c r="G431" t="s">
        <v>579</v>
      </c>
      <c r="H431">
        <v>1</v>
      </c>
      <c r="I431">
        <v>48243.360000000001</v>
      </c>
      <c r="J431">
        <v>0</v>
      </c>
      <c r="K431">
        <v>48243.360000000001</v>
      </c>
      <c r="L431">
        <v>44866.32</v>
      </c>
      <c r="M431">
        <v>3377.04</v>
      </c>
    </row>
    <row r="432" spans="1:13" x14ac:dyDescent="0.3">
      <c r="A432" t="s">
        <v>446</v>
      </c>
      <c r="B432" s="1">
        <v>45407</v>
      </c>
      <c r="C432" t="s">
        <v>519</v>
      </c>
      <c r="D432" t="s">
        <v>533</v>
      </c>
      <c r="E432" t="s">
        <v>570</v>
      </c>
      <c r="F432" t="s">
        <v>573</v>
      </c>
      <c r="G432" t="s">
        <v>584</v>
      </c>
      <c r="H432">
        <v>2</v>
      </c>
      <c r="I432">
        <v>15401.57</v>
      </c>
      <c r="J432">
        <v>0</v>
      </c>
      <c r="K432">
        <v>30803.14</v>
      </c>
      <c r="L432">
        <v>25073.759999999998</v>
      </c>
      <c r="M432">
        <v>5729.38</v>
      </c>
    </row>
    <row r="433" spans="1:13" x14ac:dyDescent="0.3">
      <c r="A433" t="s">
        <v>447</v>
      </c>
      <c r="B433" s="1">
        <v>45394</v>
      </c>
      <c r="C433" t="s">
        <v>516</v>
      </c>
      <c r="D433" t="s">
        <v>525</v>
      </c>
      <c r="E433" t="s">
        <v>542</v>
      </c>
      <c r="F433" t="s">
        <v>573</v>
      </c>
      <c r="G433" t="s">
        <v>580</v>
      </c>
      <c r="H433">
        <v>1</v>
      </c>
      <c r="I433">
        <v>22191.55</v>
      </c>
      <c r="J433">
        <v>0</v>
      </c>
      <c r="K433">
        <v>22191.55</v>
      </c>
      <c r="L433">
        <v>18152.689999999999</v>
      </c>
      <c r="M433">
        <v>4038.86</v>
      </c>
    </row>
    <row r="434" spans="1:13" x14ac:dyDescent="0.3">
      <c r="A434" t="s">
        <v>448</v>
      </c>
      <c r="B434" s="1">
        <v>45789</v>
      </c>
      <c r="C434" t="s">
        <v>517</v>
      </c>
      <c r="D434" t="s">
        <v>530</v>
      </c>
      <c r="E434" t="s">
        <v>567</v>
      </c>
      <c r="F434" t="s">
        <v>571</v>
      </c>
      <c r="G434" t="s">
        <v>578</v>
      </c>
      <c r="H434">
        <v>1</v>
      </c>
      <c r="I434">
        <v>34028.99</v>
      </c>
      <c r="J434">
        <v>0</v>
      </c>
      <c r="K434">
        <v>34028.99</v>
      </c>
      <c r="L434">
        <v>26610.67</v>
      </c>
      <c r="M434">
        <v>7418.32</v>
      </c>
    </row>
    <row r="435" spans="1:13" x14ac:dyDescent="0.3">
      <c r="A435" t="s">
        <v>449</v>
      </c>
      <c r="B435" s="1">
        <v>45703</v>
      </c>
      <c r="C435" t="s">
        <v>516</v>
      </c>
      <c r="D435" t="s">
        <v>522</v>
      </c>
      <c r="E435" t="s">
        <v>545</v>
      </c>
      <c r="F435" t="s">
        <v>573</v>
      </c>
      <c r="G435" t="s">
        <v>585</v>
      </c>
      <c r="H435">
        <v>1</v>
      </c>
      <c r="I435">
        <v>3133.69</v>
      </c>
      <c r="J435">
        <v>0</v>
      </c>
      <c r="K435">
        <v>3133.69</v>
      </c>
      <c r="L435">
        <v>2804.65</v>
      </c>
      <c r="M435">
        <v>329.04</v>
      </c>
    </row>
    <row r="436" spans="1:13" x14ac:dyDescent="0.3">
      <c r="A436" t="s">
        <v>450</v>
      </c>
      <c r="B436" s="1">
        <v>45567</v>
      </c>
      <c r="C436" t="s">
        <v>520</v>
      </c>
      <c r="D436" t="s">
        <v>528</v>
      </c>
      <c r="E436" t="s">
        <v>552</v>
      </c>
      <c r="F436" t="s">
        <v>572</v>
      </c>
      <c r="G436" t="s">
        <v>577</v>
      </c>
      <c r="H436">
        <v>3</v>
      </c>
      <c r="I436">
        <v>596.67999999999995</v>
      </c>
      <c r="J436">
        <v>0</v>
      </c>
      <c r="K436">
        <v>1790.04</v>
      </c>
      <c r="L436">
        <v>1192.17</v>
      </c>
      <c r="M436">
        <v>597.87</v>
      </c>
    </row>
    <row r="437" spans="1:13" x14ac:dyDescent="0.3">
      <c r="A437" t="s">
        <v>451</v>
      </c>
      <c r="B437" s="1">
        <v>45392</v>
      </c>
      <c r="C437" t="s">
        <v>518</v>
      </c>
      <c r="D437" t="s">
        <v>537</v>
      </c>
      <c r="E437" t="s">
        <v>569</v>
      </c>
      <c r="F437" t="s">
        <v>573</v>
      </c>
      <c r="G437" t="s">
        <v>581</v>
      </c>
      <c r="H437">
        <v>1</v>
      </c>
      <c r="I437">
        <v>19802.71</v>
      </c>
      <c r="J437">
        <v>0</v>
      </c>
      <c r="K437">
        <v>19802.71</v>
      </c>
      <c r="L437">
        <v>17208.55</v>
      </c>
      <c r="M437">
        <v>2594.16</v>
      </c>
    </row>
    <row r="438" spans="1:13" x14ac:dyDescent="0.3">
      <c r="A438" t="s">
        <v>452</v>
      </c>
      <c r="B438" s="1">
        <v>45718</v>
      </c>
      <c r="C438" t="s">
        <v>517</v>
      </c>
      <c r="D438" t="s">
        <v>536</v>
      </c>
      <c r="E438" t="s">
        <v>560</v>
      </c>
      <c r="F438" t="s">
        <v>572</v>
      </c>
      <c r="G438" t="s">
        <v>583</v>
      </c>
      <c r="H438">
        <v>1</v>
      </c>
      <c r="I438">
        <v>1831.19</v>
      </c>
      <c r="J438">
        <v>0</v>
      </c>
      <c r="K438">
        <v>1831.19</v>
      </c>
      <c r="L438">
        <v>1514.39</v>
      </c>
      <c r="M438">
        <v>316.8</v>
      </c>
    </row>
    <row r="439" spans="1:13" x14ac:dyDescent="0.3">
      <c r="A439" t="s">
        <v>453</v>
      </c>
      <c r="B439" s="1">
        <v>45788</v>
      </c>
      <c r="C439" t="s">
        <v>517</v>
      </c>
      <c r="D439" t="s">
        <v>531</v>
      </c>
      <c r="E439" t="s">
        <v>551</v>
      </c>
      <c r="F439" t="s">
        <v>573</v>
      </c>
      <c r="G439" t="s">
        <v>585</v>
      </c>
      <c r="H439">
        <v>1</v>
      </c>
      <c r="I439">
        <v>3509.19</v>
      </c>
      <c r="J439">
        <v>0</v>
      </c>
      <c r="K439">
        <v>3509.19</v>
      </c>
      <c r="L439">
        <v>3168.8</v>
      </c>
      <c r="M439">
        <v>340.39</v>
      </c>
    </row>
    <row r="440" spans="1:13" x14ac:dyDescent="0.3">
      <c r="A440" t="s">
        <v>454</v>
      </c>
      <c r="B440" s="1">
        <v>45705</v>
      </c>
      <c r="C440" t="s">
        <v>518</v>
      </c>
      <c r="D440" t="s">
        <v>524</v>
      </c>
      <c r="E440" t="s">
        <v>550</v>
      </c>
      <c r="F440" t="s">
        <v>571</v>
      </c>
      <c r="G440" t="s">
        <v>574</v>
      </c>
      <c r="H440">
        <v>2</v>
      </c>
      <c r="I440">
        <v>70388.899999999994</v>
      </c>
      <c r="J440">
        <v>0</v>
      </c>
      <c r="K440">
        <v>140777.79999999999</v>
      </c>
      <c r="L440">
        <v>105864.91</v>
      </c>
      <c r="M440">
        <v>34912.89</v>
      </c>
    </row>
    <row r="441" spans="1:13" x14ac:dyDescent="0.3">
      <c r="A441" t="s">
        <v>455</v>
      </c>
      <c r="B441" s="1">
        <v>45351</v>
      </c>
      <c r="C441" t="s">
        <v>518</v>
      </c>
      <c r="D441" t="s">
        <v>537</v>
      </c>
      <c r="E441" t="s">
        <v>569</v>
      </c>
      <c r="F441" t="s">
        <v>571</v>
      </c>
      <c r="G441" t="s">
        <v>578</v>
      </c>
      <c r="H441">
        <v>1</v>
      </c>
      <c r="I441">
        <v>57256.81</v>
      </c>
      <c r="J441">
        <v>0</v>
      </c>
      <c r="K441">
        <v>57256.81</v>
      </c>
      <c r="L441">
        <v>50557.760000000002</v>
      </c>
      <c r="M441">
        <v>6699.05</v>
      </c>
    </row>
    <row r="442" spans="1:13" x14ac:dyDescent="0.3">
      <c r="A442" t="s">
        <v>456</v>
      </c>
      <c r="B442" s="1">
        <v>45767</v>
      </c>
      <c r="C442" t="s">
        <v>517</v>
      </c>
      <c r="D442" t="s">
        <v>530</v>
      </c>
      <c r="E442" t="s">
        <v>567</v>
      </c>
      <c r="F442" t="s">
        <v>573</v>
      </c>
      <c r="G442" t="s">
        <v>582</v>
      </c>
      <c r="H442">
        <v>1</v>
      </c>
      <c r="I442">
        <v>7564.58</v>
      </c>
      <c r="J442">
        <v>0</v>
      </c>
      <c r="K442">
        <v>7564.58</v>
      </c>
      <c r="L442">
        <v>5658.31</v>
      </c>
      <c r="M442">
        <v>1906.27</v>
      </c>
    </row>
    <row r="443" spans="1:13" x14ac:dyDescent="0.3">
      <c r="A443" t="s">
        <v>457</v>
      </c>
      <c r="B443" s="1">
        <v>45748</v>
      </c>
      <c r="C443" t="s">
        <v>518</v>
      </c>
      <c r="D443" t="s">
        <v>529</v>
      </c>
      <c r="E443" t="s">
        <v>553</v>
      </c>
      <c r="F443" t="s">
        <v>572</v>
      </c>
      <c r="G443" t="s">
        <v>583</v>
      </c>
      <c r="H443">
        <v>1</v>
      </c>
      <c r="I443">
        <v>1683.42</v>
      </c>
      <c r="J443">
        <v>0</v>
      </c>
      <c r="K443">
        <v>1683.42</v>
      </c>
      <c r="L443">
        <v>1547.06</v>
      </c>
      <c r="M443">
        <v>136.36000000000001</v>
      </c>
    </row>
    <row r="444" spans="1:13" x14ac:dyDescent="0.3">
      <c r="A444" t="s">
        <v>458</v>
      </c>
      <c r="B444" s="1">
        <v>45384</v>
      </c>
      <c r="C444" t="s">
        <v>520</v>
      </c>
      <c r="D444" t="s">
        <v>528</v>
      </c>
      <c r="E444" t="s">
        <v>552</v>
      </c>
      <c r="F444" t="s">
        <v>571</v>
      </c>
      <c r="G444" t="s">
        <v>574</v>
      </c>
      <c r="H444">
        <v>2</v>
      </c>
      <c r="I444">
        <v>68744.240000000005</v>
      </c>
      <c r="J444">
        <v>0</v>
      </c>
      <c r="K444">
        <v>137488.48000000001</v>
      </c>
      <c r="L444">
        <v>123189.68</v>
      </c>
      <c r="M444">
        <v>14298.8</v>
      </c>
    </row>
    <row r="445" spans="1:13" x14ac:dyDescent="0.3">
      <c r="A445" t="s">
        <v>459</v>
      </c>
      <c r="B445" s="1">
        <v>45511</v>
      </c>
      <c r="C445" t="s">
        <v>518</v>
      </c>
      <c r="D445" t="s">
        <v>524</v>
      </c>
      <c r="E445" t="s">
        <v>550</v>
      </c>
      <c r="F445" t="s">
        <v>573</v>
      </c>
      <c r="G445" t="s">
        <v>585</v>
      </c>
      <c r="H445">
        <v>2</v>
      </c>
      <c r="I445">
        <v>8188.92</v>
      </c>
      <c r="J445">
        <v>0</v>
      </c>
      <c r="K445">
        <v>16377.84</v>
      </c>
      <c r="L445">
        <v>14396.12</v>
      </c>
      <c r="M445">
        <v>1981.72</v>
      </c>
    </row>
    <row r="446" spans="1:13" x14ac:dyDescent="0.3">
      <c r="A446" t="s">
        <v>460</v>
      </c>
      <c r="B446" s="1">
        <v>45312</v>
      </c>
      <c r="C446" t="s">
        <v>516</v>
      </c>
      <c r="D446" t="s">
        <v>522</v>
      </c>
      <c r="E446" t="s">
        <v>539</v>
      </c>
      <c r="F446" t="s">
        <v>573</v>
      </c>
      <c r="G446" t="s">
        <v>585</v>
      </c>
      <c r="H446">
        <v>1</v>
      </c>
      <c r="I446">
        <v>15826.26</v>
      </c>
      <c r="J446">
        <v>0.1</v>
      </c>
      <c r="K446">
        <v>14243.63</v>
      </c>
      <c r="L446">
        <v>12491.66</v>
      </c>
      <c r="M446">
        <v>1751.97</v>
      </c>
    </row>
    <row r="447" spans="1:13" x14ac:dyDescent="0.3">
      <c r="A447" t="s">
        <v>461</v>
      </c>
      <c r="B447" s="1">
        <v>45604</v>
      </c>
      <c r="C447" t="s">
        <v>520</v>
      </c>
      <c r="D447" t="s">
        <v>535</v>
      </c>
      <c r="E447" t="s">
        <v>559</v>
      </c>
      <c r="F447" t="s">
        <v>572</v>
      </c>
      <c r="G447" t="s">
        <v>586</v>
      </c>
      <c r="H447">
        <v>2</v>
      </c>
      <c r="I447">
        <v>541.4</v>
      </c>
      <c r="J447">
        <v>0</v>
      </c>
      <c r="K447">
        <v>1082.8</v>
      </c>
      <c r="L447">
        <v>750.38</v>
      </c>
      <c r="M447">
        <v>332.42</v>
      </c>
    </row>
    <row r="448" spans="1:13" x14ac:dyDescent="0.3">
      <c r="A448" t="s">
        <v>462</v>
      </c>
      <c r="B448" s="1">
        <v>45825</v>
      </c>
      <c r="C448" t="s">
        <v>517</v>
      </c>
      <c r="D448" t="s">
        <v>530</v>
      </c>
      <c r="E448" t="s">
        <v>567</v>
      </c>
      <c r="F448" t="s">
        <v>571</v>
      </c>
      <c r="G448" t="s">
        <v>579</v>
      </c>
      <c r="H448">
        <v>2</v>
      </c>
      <c r="I448">
        <v>79956.06</v>
      </c>
      <c r="J448">
        <v>0</v>
      </c>
      <c r="K448">
        <v>159912.12</v>
      </c>
      <c r="L448">
        <v>132886.97</v>
      </c>
      <c r="M448">
        <v>27025.15</v>
      </c>
    </row>
    <row r="449" spans="1:13" x14ac:dyDescent="0.3">
      <c r="A449" t="s">
        <v>463</v>
      </c>
      <c r="B449" s="1">
        <v>45675</v>
      </c>
      <c r="C449" t="s">
        <v>517</v>
      </c>
      <c r="D449" t="s">
        <v>531</v>
      </c>
      <c r="E449" t="s">
        <v>563</v>
      </c>
      <c r="F449" t="s">
        <v>573</v>
      </c>
      <c r="G449" t="s">
        <v>582</v>
      </c>
      <c r="H449">
        <v>2</v>
      </c>
      <c r="I449">
        <v>13079.98</v>
      </c>
      <c r="J449">
        <v>0</v>
      </c>
      <c r="K449">
        <v>26159.96</v>
      </c>
      <c r="L449">
        <v>23256.2</v>
      </c>
      <c r="M449">
        <v>2903.76</v>
      </c>
    </row>
    <row r="450" spans="1:13" x14ac:dyDescent="0.3">
      <c r="A450" t="s">
        <v>464</v>
      </c>
      <c r="B450" s="1">
        <v>45575</v>
      </c>
      <c r="C450" t="s">
        <v>520</v>
      </c>
      <c r="D450" t="s">
        <v>535</v>
      </c>
      <c r="E450" t="s">
        <v>559</v>
      </c>
      <c r="F450" t="s">
        <v>573</v>
      </c>
      <c r="G450" t="s">
        <v>580</v>
      </c>
      <c r="H450">
        <v>1</v>
      </c>
      <c r="I450">
        <v>6332.28</v>
      </c>
      <c r="J450">
        <v>0</v>
      </c>
      <c r="K450">
        <v>6332.28</v>
      </c>
      <c r="L450">
        <v>4312.28</v>
      </c>
      <c r="M450">
        <v>2020</v>
      </c>
    </row>
    <row r="451" spans="1:13" x14ac:dyDescent="0.3">
      <c r="A451" t="s">
        <v>465</v>
      </c>
      <c r="B451" s="1">
        <v>45538</v>
      </c>
      <c r="C451" t="s">
        <v>516</v>
      </c>
      <c r="D451" t="s">
        <v>522</v>
      </c>
      <c r="E451" t="s">
        <v>545</v>
      </c>
      <c r="F451" t="s">
        <v>573</v>
      </c>
      <c r="G451" t="s">
        <v>585</v>
      </c>
      <c r="H451">
        <v>1</v>
      </c>
      <c r="I451">
        <v>18589.509999999998</v>
      </c>
      <c r="J451">
        <v>0</v>
      </c>
      <c r="K451">
        <v>18589.509999999998</v>
      </c>
      <c r="L451">
        <v>17176.71</v>
      </c>
      <c r="M451">
        <v>1412.8</v>
      </c>
    </row>
    <row r="452" spans="1:13" x14ac:dyDescent="0.3">
      <c r="A452" t="s">
        <v>466</v>
      </c>
      <c r="B452" s="1">
        <v>45594</v>
      </c>
      <c r="C452" t="s">
        <v>520</v>
      </c>
      <c r="D452" t="s">
        <v>535</v>
      </c>
      <c r="E452" t="s">
        <v>559</v>
      </c>
      <c r="F452" t="s">
        <v>572</v>
      </c>
      <c r="G452" t="s">
        <v>588</v>
      </c>
      <c r="H452">
        <v>1</v>
      </c>
      <c r="I452">
        <v>1186.9000000000001</v>
      </c>
      <c r="J452">
        <v>0</v>
      </c>
      <c r="K452">
        <v>1186.9000000000001</v>
      </c>
      <c r="L452">
        <v>1118.06</v>
      </c>
      <c r="M452">
        <v>68.84</v>
      </c>
    </row>
    <row r="453" spans="1:13" x14ac:dyDescent="0.3">
      <c r="A453" t="s">
        <v>467</v>
      </c>
      <c r="B453" s="1">
        <v>45486</v>
      </c>
      <c r="C453" t="s">
        <v>520</v>
      </c>
      <c r="D453" t="s">
        <v>528</v>
      </c>
      <c r="E453" t="s">
        <v>552</v>
      </c>
      <c r="F453" t="s">
        <v>573</v>
      </c>
      <c r="G453" t="s">
        <v>580</v>
      </c>
      <c r="H453">
        <v>1</v>
      </c>
      <c r="I453">
        <v>13668.24</v>
      </c>
      <c r="J453">
        <v>0</v>
      </c>
      <c r="K453">
        <v>13668.24</v>
      </c>
      <c r="L453">
        <v>10592.89</v>
      </c>
      <c r="M453">
        <v>3075.35</v>
      </c>
    </row>
    <row r="454" spans="1:13" x14ac:dyDescent="0.3">
      <c r="A454" t="s">
        <v>468</v>
      </c>
      <c r="B454" s="1">
        <v>45863</v>
      </c>
      <c r="C454" t="s">
        <v>518</v>
      </c>
      <c r="D454" t="s">
        <v>529</v>
      </c>
      <c r="E454" t="s">
        <v>548</v>
      </c>
      <c r="F454" t="s">
        <v>572</v>
      </c>
      <c r="G454" t="s">
        <v>583</v>
      </c>
      <c r="H454">
        <v>1</v>
      </c>
      <c r="I454">
        <v>1494.79</v>
      </c>
      <c r="J454">
        <v>0</v>
      </c>
      <c r="K454">
        <v>1494.79</v>
      </c>
      <c r="L454">
        <v>1019.45</v>
      </c>
      <c r="M454">
        <v>475.34</v>
      </c>
    </row>
    <row r="455" spans="1:13" x14ac:dyDescent="0.3">
      <c r="A455" t="s">
        <v>469</v>
      </c>
      <c r="B455" s="1">
        <v>45864</v>
      </c>
      <c r="C455" t="s">
        <v>518</v>
      </c>
      <c r="D455" t="s">
        <v>524</v>
      </c>
      <c r="E455" t="s">
        <v>541</v>
      </c>
      <c r="F455" t="s">
        <v>573</v>
      </c>
      <c r="G455" t="s">
        <v>582</v>
      </c>
      <c r="H455">
        <v>2</v>
      </c>
      <c r="I455">
        <v>7111.83</v>
      </c>
      <c r="J455">
        <v>0</v>
      </c>
      <c r="K455">
        <v>14223.66</v>
      </c>
      <c r="L455">
        <v>12047.44</v>
      </c>
      <c r="M455">
        <v>2176.2199999999998</v>
      </c>
    </row>
    <row r="456" spans="1:13" x14ac:dyDescent="0.3">
      <c r="A456" t="s">
        <v>470</v>
      </c>
      <c r="B456" s="1">
        <v>45606</v>
      </c>
      <c r="C456" t="s">
        <v>519</v>
      </c>
      <c r="D456" t="s">
        <v>532</v>
      </c>
      <c r="E456" t="s">
        <v>554</v>
      </c>
      <c r="F456" t="s">
        <v>572</v>
      </c>
      <c r="G456" t="s">
        <v>587</v>
      </c>
      <c r="H456">
        <v>1</v>
      </c>
      <c r="I456">
        <v>623.4</v>
      </c>
      <c r="J456">
        <v>0</v>
      </c>
      <c r="K456">
        <v>623.4</v>
      </c>
      <c r="L456">
        <v>521.16</v>
      </c>
      <c r="M456">
        <v>102.24</v>
      </c>
    </row>
    <row r="457" spans="1:13" x14ac:dyDescent="0.3">
      <c r="A457" t="s">
        <v>471</v>
      </c>
      <c r="B457" s="1">
        <v>45773</v>
      </c>
      <c r="C457" t="s">
        <v>516</v>
      </c>
      <c r="D457" t="s">
        <v>525</v>
      </c>
      <c r="E457" t="s">
        <v>542</v>
      </c>
      <c r="F457" t="s">
        <v>571</v>
      </c>
      <c r="G457" t="s">
        <v>579</v>
      </c>
      <c r="H457">
        <v>1</v>
      </c>
      <c r="I457">
        <v>12225.83</v>
      </c>
      <c r="J457">
        <v>0</v>
      </c>
      <c r="K457">
        <v>12225.83</v>
      </c>
      <c r="L457">
        <v>10636.47</v>
      </c>
      <c r="M457">
        <v>1589.36</v>
      </c>
    </row>
    <row r="458" spans="1:13" x14ac:dyDescent="0.3">
      <c r="A458" t="s">
        <v>472</v>
      </c>
      <c r="B458" s="1">
        <v>45834</v>
      </c>
      <c r="C458" t="s">
        <v>520</v>
      </c>
      <c r="D458" t="s">
        <v>535</v>
      </c>
      <c r="E458" t="s">
        <v>565</v>
      </c>
      <c r="F458" t="s">
        <v>571</v>
      </c>
      <c r="G458" t="s">
        <v>574</v>
      </c>
      <c r="H458">
        <v>1</v>
      </c>
      <c r="I458">
        <v>79410.78</v>
      </c>
      <c r="J458">
        <v>0</v>
      </c>
      <c r="K458">
        <v>79410.78</v>
      </c>
      <c r="L458">
        <v>65672.72</v>
      </c>
      <c r="M458">
        <v>13738.06</v>
      </c>
    </row>
    <row r="459" spans="1:13" x14ac:dyDescent="0.3">
      <c r="A459" t="s">
        <v>473</v>
      </c>
      <c r="B459" s="1">
        <v>45875</v>
      </c>
      <c r="C459" t="s">
        <v>519</v>
      </c>
      <c r="D459" t="s">
        <v>533</v>
      </c>
      <c r="E459" t="s">
        <v>555</v>
      </c>
      <c r="F459" t="s">
        <v>573</v>
      </c>
      <c r="G459" t="s">
        <v>585</v>
      </c>
      <c r="H459">
        <v>1</v>
      </c>
      <c r="I459">
        <v>19915.650000000001</v>
      </c>
      <c r="J459">
        <v>0</v>
      </c>
      <c r="K459">
        <v>19915.650000000001</v>
      </c>
      <c r="L459">
        <v>16310.92</v>
      </c>
      <c r="M459">
        <v>3604.73</v>
      </c>
    </row>
    <row r="460" spans="1:13" x14ac:dyDescent="0.3">
      <c r="A460" t="s">
        <v>474</v>
      </c>
      <c r="B460" s="1">
        <v>45473</v>
      </c>
      <c r="C460" t="s">
        <v>520</v>
      </c>
      <c r="D460" t="s">
        <v>528</v>
      </c>
      <c r="E460" t="s">
        <v>547</v>
      </c>
      <c r="F460" t="s">
        <v>572</v>
      </c>
      <c r="G460" t="s">
        <v>577</v>
      </c>
      <c r="H460">
        <v>1</v>
      </c>
      <c r="I460">
        <v>458.3</v>
      </c>
      <c r="J460">
        <v>0</v>
      </c>
      <c r="K460">
        <v>458.3</v>
      </c>
      <c r="L460">
        <v>304.77</v>
      </c>
      <c r="M460">
        <v>153.53</v>
      </c>
    </row>
    <row r="461" spans="1:13" x14ac:dyDescent="0.3">
      <c r="A461" t="s">
        <v>475</v>
      </c>
      <c r="B461" s="1">
        <v>45882</v>
      </c>
      <c r="C461" t="s">
        <v>518</v>
      </c>
      <c r="D461" t="s">
        <v>529</v>
      </c>
      <c r="E461" t="s">
        <v>548</v>
      </c>
      <c r="F461" t="s">
        <v>571</v>
      </c>
      <c r="G461" t="s">
        <v>579</v>
      </c>
      <c r="H461">
        <v>2</v>
      </c>
      <c r="I461">
        <v>36395.78</v>
      </c>
      <c r="J461">
        <v>0</v>
      </c>
      <c r="K461">
        <v>72791.56</v>
      </c>
      <c r="L461">
        <v>66094.740000000005</v>
      </c>
      <c r="M461">
        <v>6696.82</v>
      </c>
    </row>
    <row r="462" spans="1:13" x14ac:dyDescent="0.3">
      <c r="A462" t="s">
        <v>476</v>
      </c>
      <c r="B462" s="1">
        <v>45731</v>
      </c>
      <c r="C462" t="s">
        <v>519</v>
      </c>
      <c r="D462" t="s">
        <v>534</v>
      </c>
      <c r="E462" t="s">
        <v>566</v>
      </c>
      <c r="F462" t="s">
        <v>571</v>
      </c>
      <c r="G462" t="s">
        <v>579</v>
      </c>
      <c r="H462">
        <v>3</v>
      </c>
      <c r="I462">
        <v>18354.900000000001</v>
      </c>
      <c r="J462">
        <v>0</v>
      </c>
      <c r="K462">
        <v>55064.7</v>
      </c>
      <c r="L462">
        <v>44272.02</v>
      </c>
      <c r="M462">
        <v>10792.68</v>
      </c>
    </row>
    <row r="463" spans="1:13" x14ac:dyDescent="0.3">
      <c r="A463" t="s">
        <v>477</v>
      </c>
      <c r="B463" s="1">
        <v>45306</v>
      </c>
      <c r="C463" t="s">
        <v>520</v>
      </c>
      <c r="D463" t="s">
        <v>528</v>
      </c>
      <c r="E463" t="s">
        <v>547</v>
      </c>
      <c r="F463" t="s">
        <v>573</v>
      </c>
      <c r="G463" t="s">
        <v>582</v>
      </c>
      <c r="H463">
        <v>3</v>
      </c>
      <c r="I463">
        <v>16413.8</v>
      </c>
      <c r="J463">
        <v>0</v>
      </c>
      <c r="K463">
        <v>49241.4</v>
      </c>
      <c r="L463">
        <v>34961.39</v>
      </c>
      <c r="M463">
        <v>14280.01</v>
      </c>
    </row>
    <row r="464" spans="1:13" x14ac:dyDescent="0.3">
      <c r="A464" t="s">
        <v>478</v>
      </c>
      <c r="B464" s="1">
        <v>45644</v>
      </c>
      <c r="C464" t="s">
        <v>520</v>
      </c>
      <c r="D464" t="s">
        <v>528</v>
      </c>
      <c r="E464" t="s">
        <v>547</v>
      </c>
      <c r="F464" t="s">
        <v>572</v>
      </c>
      <c r="G464" t="s">
        <v>587</v>
      </c>
      <c r="H464">
        <v>1</v>
      </c>
      <c r="I464">
        <v>1197.9100000000001</v>
      </c>
      <c r="J464">
        <v>0.05</v>
      </c>
      <c r="K464">
        <v>1138.01</v>
      </c>
      <c r="L464">
        <v>1073.1400000000001</v>
      </c>
      <c r="M464">
        <v>64.87</v>
      </c>
    </row>
    <row r="465" spans="1:13" x14ac:dyDescent="0.3">
      <c r="A465" t="s">
        <v>479</v>
      </c>
      <c r="B465" s="1">
        <v>45597</v>
      </c>
      <c r="C465" t="s">
        <v>520</v>
      </c>
      <c r="D465" t="s">
        <v>535</v>
      </c>
      <c r="E465" t="s">
        <v>559</v>
      </c>
      <c r="F465" t="s">
        <v>572</v>
      </c>
      <c r="G465" t="s">
        <v>583</v>
      </c>
      <c r="H465">
        <v>1</v>
      </c>
      <c r="I465">
        <v>718.33</v>
      </c>
      <c r="J465">
        <v>0</v>
      </c>
      <c r="K465">
        <v>718.33</v>
      </c>
      <c r="L465">
        <v>566.04</v>
      </c>
      <c r="M465">
        <v>152.29</v>
      </c>
    </row>
    <row r="466" spans="1:13" x14ac:dyDescent="0.3">
      <c r="A466" t="s">
        <v>480</v>
      </c>
      <c r="B466" s="1">
        <v>45659</v>
      </c>
      <c r="C466" t="s">
        <v>518</v>
      </c>
      <c r="D466" t="s">
        <v>537</v>
      </c>
      <c r="E466" t="s">
        <v>569</v>
      </c>
      <c r="F466" t="s">
        <v>571</v>
      </c>
      <c r="G466" t="s">
        <v>574</v>
      </c>
      <c r="H466">
        <v>1</v>
      </c>
      <c r="I466">
        <v>20272.740000000002</v>
      </c>
      <c r="J466">
        <v>0</v>
      </c>
      <c r="K466">
        <v>20272.740000000002</v>
      </c>
      <c r="L466">
        <v>17698.099999999999</v>
      </c>
      <c r="M466">
        <v>2574.64</v>
      </c>
    </row>
    <row r="467" spans="1:13" x14ac:dyDescent="0.3">
      <c r="A467" t="s">
        <v>481</v>
      </c>
      <c r="B467" s="1">
        <v>45508</v>
      </c>
      <c r="C467" t="s">
        <v>516</v>
      </c>
      <c r="D467" t="s">
        <v>527</v>
      </c>
      <c r="E467" t="s">
        <v>546</v>
      </c>
      <c r="F467" t="s">
        <v>572</v>
      </c>
      <c r="G467" t="s">
        <v>588</v>
      </c>
      <c r="H467">
        <v>1</v>
      </c>
      <c r="I467">
        <v>781.63</v>
      </c>
      <c r="J467">
        <v>0</v>
      </c>
      <c r="K467">
        <v>781.63</v>
      </c>
      <c r="L467">
        <v>547.14</v>
      </c>
      <c r="M467">
        <v>234.49</v>
      </c>
    </row>
    <row r="468" spans="1:13" x14ac:dyDescent="0.3">
      <c r="A468" t="s">
        <v>482</v>
      </c>
      <c r="B468" s="1">
        <v>45839</v>
      </c>
      <c r="C468" t="s">
        <v>517</v>
      </c>
      <c r="D468" t="s">
        <v>536</v>
      </c>
      <c r="E468" t="s">
        <v>560</v>
      </c>
      <c r="F468" t="s">
        <v>573</v>
      </c>
      <c r="G468" t="s">
        <v>582</v>
      </c>
      <c r="H468">
        <v>5</v>
      </c>
      <c r="I468">
        <v>17032.060000000001</v>
      </c>
      <c r="J468">
        <v>0.15</v>
      </c>
      <c r="K468">
        <v>72386.259999999995</v>
      </c>
      <c r="L468">
        <v>57329.919999999998</v>
      </c>
      <c r="M468">
        <v>15056.34</v>
      </c>
    </row>
    <row r="469" spans="1:13" x14ac:dyDescent="0.3">
      <c r="A469" t="s">
        <v>483</v>
      </c>
      <c r="B469" s="1">
        <v>45410</v>
      </c>
      <c r="C469" t="s">
        <v>519</v>
      </c>
      <c r="D469" t="s">
        <v>534</v>
      </c>
      <c r="E469" t="s">
        <v>556</v>
      </c>
      <c r="F469" t="s">
        <v>571</v>
      </c>
      <c r="G469" t="s">
        <v>579</v>
      </c>
      <c r="H469">
        <v>1</v>
      </c>
      <c r="I469">
        <v>22460.85</v>
      </c>
      <c r="J469">
        <v>0</v>
      </c>
      <c r="K469">
        <v>22460.85</v>
      </c>
      <c r="L469">
        <v>19496.02</v>
      </c>
      <c r="M469">
        <v>2964.83</v>
      </c>
    </row>
    <row r="470" spans="1:13" x14ac:dyDescent="0.3">
      <c r="A470" t="s">
        <v>484</v>
      </c>
      <c r="B470" s="1">
        <v>45502</v>
      </c>
      <c r="C470" t="s">
        <v>516</v>
      </c>
      <c r="D470" t="s">
        <v>521</v>
      </c>
      <c r="E470" t="s">
        <v>568</v>
      </c>
      <c r="F470" t="s">
        <v>573</v>
      </c>
      <c r="G470" t="s">
        <v>582</v>
      </c>
      <c r="H470">
        <v>1</v>
      </c>
      <c r="I470">
        <v>17237.11</v>
      </c>
      <c r="J470">
        <v>0</v>
      </c>
      <c r="K470">
        <v>17237.11</v>
      </c>
      <c r="L470">
        <v>11652.29</v>
      </c>
      <c r="M470">
        <v>5584.82</v>
      </c>
    </row>
    <row r="471" spans="1:13" x14ac:dyDescent="0.3">
      <c r="A471" t="s">
        <v>485</v>
      </c>
      <c r="B471" s="1">
        <v>45432</v>
      </c>
      <c r="C471" t="s">
        <v>519</v>
      </c>
      <c r="D471" t="s">
        <v>526</v>
      </c>
      <c r="E471" t="s">
        <v>562</v>
      </c>
      <c r="F471" t="s">
        <v>572</v>
      </c>
      <c r="G471" t="s">
        <v>588</v>
      </c>
      <c r="H471">
        <v>1</v>
      </c>
      <c r="I471">
        <v>1580.28</v>
      </c>
      <c r="J471">
        <v>0</v>
      </c>
      <c r="K471">
        <v>1580.28</v>
      </c>
      <c r="L471">
        <v>1227.8800000000001</v>
      </c>
      <c r="M471">
        <v>352.4</v>
      </c>
    </row>
    <row r="472" spans="1:13" x14ac:dyDescent="0.3">
      <c r="A472" t="s">
        <v>486</v>
      </c>
      <c r="B472" s="1">
        <v>45496</v>
      </c>
      <c r="C472" t="s">
        <v>520</v>
      </c>
      <c r="D472" t="s">
        <v>528</v>
      </c>
      <c r="E472" t="s">
        <v>552</v>
      </c>
      <c r="F472" t="s">
        <v>573</v>
      </c>
      <c r="G472" t="s">
        <v>581</v>
      </c>
      <c r="H472">
        <v>1</v>
      </c>
      <c r="I472">
        <v>8793.08</v>
      </c>
      <c r="J472">
        <v>0.1</v>
      </c>
      <c r="K472">
        <v>7913.77</v>
      </c>
      <c r="L472">
        <v>6204.4</v>
      </c>
      <c r="M472">
        <v>1709.37</v>
      </c>
    </row>
    <row r="473" spans="1:13" x14ac:dyDescent="0.3">
      <c r="A473" t="s">
        <v>487</v>
      </c>
      <c r="B473" s="1">
        <v>45504</v>
      </c>
      <c r="C473" t="s">
        <v>519</v>
      </c>
      <c r="D473" t="s">
        <v>532</v>
      </c>
      <c r="E473" t="s">
        <v>564</v>
      </c>
      <c r="F473" t="s">
        <v>571</v>
      </c>
      <c r="G473" t="s">
        <v>575</v>
      </c>
      <c r="H473">
        <v>2</v>
      </c>
      <c r="I473">
        <v>54715.75</v>
      </c>
      <c r="J473">
        <v>0</v>
      </c>
      <c r="K473">
        <v>109431.5</v>
      </c>
      <c r="L473">
        <v>76711.48</v>
      </c>
      <c r="M473">
        <v>32720.02</v>
      </c>
    </row>
    <row r="474" spans="1:13" x14ac:dyDescent="0.3">
      <c r="A474" t="s">
        <v>488</v>
      </c>
      <c r="B474" s="1">
        <v>45879</v>
      </c>
      <c r="C474" t="s">
        <v>519</v>
      </c>
      <c r="D474" t="s">
        <v>533</v>
      </c>
      <c r="E474" t="s">
        <v>570</v>
      </c>
      <c r="F474" t="s">
        <v>573</v>
      </c>
      <c r="G474" t="s">
        <v>582</v>
      </c>
      <c r="H474">
        <v>1</v>
      </c>
      <c r="I474">
        <v>18641.96</v>
      </c>
      <c r="J474">
        <v>0.1</v>
      </c>
      <c r="K474">
        <v>16777.759999999998</v>
      </c>
      <c r="L474">
        <v>15888.54</v>
      </c>
      <c r="M474">
        <v>889.22</v>
      </c>
    </row>
    <row r="475" spans="1:13" x14ac:dyDescent="0.3">
      <c r="A475" t="s">
        <v>489</v>
      </c>
      <c r="B475" s="1">
        <v>45528</v>
      </c>
      <c r="C475" t="s">
        <v>519</v>
      </c>
      <c r="D475" t="s">
        <v>532</v>
      </c>
      <c r="E475" t="s">
        <v>554</v>
      </c>
      <c r="F475" t="s">
        <v>572</v>
      </c>
      <c r="G475" t="s">
        <v>588</v>
      </c>
      <c r="H475">
        <v>1</v>
      </c>
      <c r="I475">
        <v>244.63</v>
      </c>
      <c r="J475">
        <v>0.05</v>
      </c>
      <c r="K475">
        <v>232.4</v>
      </c>
      <c r="L475">
        <v>158.03</v>
      </c>
      <c r="M475">
        <v>74.37</v>
      </c>
    </row>
    <row r="476" spans="1:13" x14ac:dyDescent="0.3">
      <c r="A476" t="s">
        <v>490</v>
      </c>
      <c r="B476" s="1">
        <v>45589</v>
      </c>
      <c r="C476" t="s">
        <v>520</v>
      </c>
      <c r="D476" t="s">
        <v>535</v>
      </c>
      <c r="E476" t="s">
        <v>559</v>
      </c>
      <c r="F476" t="s">
        <v>573</v>
      </c>
      <c r="G476" t="s">
        <v>582</v>
      </c>
      <c r="H476">
        <v>3</v>
      </c>
      <c r="I476">
        <v>4184.96</v>
      </c>
      <c r="J476">
        <v>0</v>
      </c>
      <c r="K476">
        <v>12554.88</v>
      </c>
      <c r="L476">
        <v>9679.81</v>
      </c>
      <c r="M476">
        <v>2875.07</v>
      </c>
    </row>
    <row r="477" spans="1:13" x14ac:dyDescent="0.3">
      <c r="A477" t="s">
        <v>491</v>
      </c>
      <c r="B477" s="1">
        <v>45338</v>
      </c>
      <c r="C477" t="s">
        <v>516</v>
      </c>
      <c r="D477" t="s">
        <v>527</v>
      </c>
      <c r="E477" t="s">
        <v>546</v>
      </c>
      <c r="F477" t="s">
        <v>572</v>
      </c>
      <c r="G477" t="s">
        <v>577</v>
      </c>
      <c r="H477">
        <v>1</v>
      </c>
      <c r="I477">
        <v>1794.33</v>
      </c>
      <c r="J477">
        <v>0</v>
      </c>
      <c r="K477">
        <v>1794.33</v>
      </c>
      <c r="L477">
        <v>1345.75</v>
      </c>
      <c r="M477">
        <v>448.58</v>
      </c>
    </row>
    <row r="478" spans="1:13" x14ac:dyDescent="0.3">
      <c r="A478" t="s">
        <v>492</v>
      </c>
      <c r="B478" s="1">
        <v>45566</v>
      </c>
      <c r="C478" t="s">
        <v>516</v>
      </c>
      <c r="D478" t="s">
        <v>521</v>
      </c>
      <c r="E478" t="s">
        <v>568</v>
      </c>
      <c r="F478" t="s">
        <v>571</v>
      </c>
      <c r="G478" t="s">
        <v>575</v>
      </c>
      <c r="H478">
        <v>1</v>
      </c>
      <c r="I478">
        <v>33859.870000000003</v>
      </c>
      <c r="J478">
        <v>0</v>
      </c>
      <c r="K478">
        <v>33859.870000000003</v>
      </c>
      <c r="L478">
        <v>22889.27</v>
      </c>
      <c r="M478">
        <v>10970.6</v>
      </c>
    </row>
    <row r="479" spans="1:13" x14ac:dyDescent="0.3">
      <c r="A479" t="s">
        <v>493</v>
      </c>
      <c r="B479" s="1">
        <v>45570</v>
      </c>
      <c r="C479" t="s">
        <v>519</v>
      </c>
      <c r="D479" t="s">
        <v>534</v>
      </c>
      <c r="E479" t="s">
        <v>556</v>
      </c>
      <c r="F479" t="s">
        <v>573</v>
      </c>
      <c r="G479" t="s">
        <v>585</v>
      </c>
      <c r="H479">
        <v>1</v>
      </c>
      <c r="I479">
        <v>4600.3</v>
      </c>
      <c r="J479">
        <v>0</v>
      </c>
      <c r="K479">
        <v>4600.3</v>
      </c>
      <c r="L479">
        <v>3841.25</v>
      </c>
      <c r="M479">
        <v>759.05</v>
      </c>
    </row>
    <row r="480" spans="1:13" x14ac:dyDescent="0.3">
      <c r="A480" t="s">
        <v>494</v>
      </c>
      <c r="B480" s="1">
        <v>45352</v>
      </c>
      <c r="C480" t="s">
        <v>518</v>
      </c>
      <c r="D480" t="s">
        <v>537</v>
      </c>
      <c r="E480" t="s">
        <v>569</v>
      </c>
      <c r="F480" t="s">
        <v>573</v>
      </c>
      <c r="G480" t="s">
        <v>581</v>
      </c>
      <c r="H480">
        <v>1</v>
      </c>
      <c r="I480">
        <v>20452.09</v>
      </c>
      <c r="J480">
        <v>0</v>
      </c>
      <c r="K480">
        <v>20452.09</v>
      </c>
      <c r="L480">
        <v>19143.16</v>
      </c>
      <c r="M480">
        <v>1308.93</v>
      </c>
    </row>
    <row r="481" spans="1:13" x14ac:dyDescent="0.3">
      <c r="A481" t="s">
        <v>495</v>
      </c>
      <c r="B481" s="1">
        <v>45477</v>
      </c>
      <c r="C481" t="s">
        <v>517</v>
      </c>
      <c r="D481" t="s">
        <v>530</v>
      </c>
      <c r="E481" t="s">
        <v>549</v>
      </c>
      <c r="F481" t="s">
        <v>573</v>
      </c>
      <c r="G481" t="s">
        <v>582</v>
      </c>
      <c r="H481">
        <v>1</v>
      </c>
      <c r="I481">
        <v>21839.24</v>
      </c>
      <c r="J481">
        <v>0</v>
      </c>
      <c r="K481">
        <v>21839.24</v>
      </c>
      <c r="L481">
        <v>15920.81</v>
      </c>
      <c r="M481">
        <v>5918.43</v>
      </c>
    </row>
    <row r="482" spans="1:13" x14ac:dyDescent="0.3">
      <c r="A482" t="s">
        <v>496</v>
      </c>
      <c r="B482" s="1">
        <v>45425</v>
      </c>
      <c r="C482" t="s">
        <v>519</v>
      </c>
      <c r="D482" t="s">
        <v>534</v>
      </c>
      <c r="E482" t="s">
        <v>566</v>
      </c>
      <c r="F482" t="s">
        <v>572</v>
      </c>
      <c r="G482" t="s">
        <v>586</v>
      </c>
      <c r="H482">
        <v>1</v>
      </c>
      <c r="I482">
        <v>139.65</v>
      </c>
      <c r="J482">
        <v>0</v>
      </c>
      <c r="K482">
        <v>139.65</v>
      </c>
      <c r="L482">
        <v>107.39</v>
      </c>
      <c r="M482">
        <v>32.26</v>
      </c>
    </row>
    <row r="483" spans="1:13" x14ac:dyDescent="0.3">
      <c r="A483" t="s">
        <v>497</v>
      </c>
      <c r="B483" s="1">
        <v>45613</v>
      </c>
      <c r="C483" t="s">
        <v>516</v>
      </c>
      <c r="D483" t="s">
        <v>527</v>
      </c>
      <c r="E483" t="s">
        <v>558</v>
      </c>
      <c r="F483" t="s">
        <v>573</v>
      </c>
      <c r="G483" t="s">
        <v>584</v>
      </c>
      <c r="H483">
        <v>1</v>
      </c>
      <c r="I483">
        <v>17829.560000000001</v>
      </c>
      <c r="J483">
        <v>0</v>
      </c>
      <c r="K483">
        <v>17829.560000000001</v>
      </c>
      <c r="L483">
        <v>14852.02</v>
      </c>
      <c r="M483">
        <v>2977.54</v>
      </c>
    </row>
    <row r="484" spans="1:13" x14ac:dyDescent="0.3">
      <c r="A484" t="s">
        <v>498</v>
      </c>
      <c r="B484" s="1">
        <v>45735</v>
      </c>
      <c r="C484" t="s">
        <v>518</v>
      </c>
      <c r="D484" t="s">
        <v>529</v>
      </c>
      <c r="E484" t="s">
        <v>553</v>
      </c>
      <c r="F484" t="s">
        <v>573</v>
      </c>
      <c r="G484" t="s">
        <v>581</v>
      </c>
      <c r="H484">
        <v>1</v>
      </c>
      <c r="I484">
        <v>5419.05</v>
      </c>
      <c r="J484">
        <v>0</v>
      </c>
      <c r="K484">
        <v>5419.05</v>
      </c>
      <c r="L484">
        <v>4568.26</v>
      </c>
      <c r="M484">
        <v>850.79</v>
      </c>
    </row>
    <row r="485" spans="1:13" x14ac:dyDescent="0.3">
      <c r="A485" t="s">
        <v>499</v>
      </c>
      <c r="B485" s="1">
        <v>45347</v>
      </c>
      <c r="C485" t="s">
        <v>516</v>
      </c>
      <c r="D485" t="s">
        <v>527</v>
      </c>
      <c r="E485" t="s">
        <v>558</v>
      </c>
      <c r="F485" t="s">
        <v>572</v>
      </c>
      <c r="G485" t="s">
        <v>583</v>
      </c>
      <c r="H485">
        <v>2</v>
      </c>
      <c r="I485">
        <v>195.99</v>
      </c>
      <c r="J485">
        <v>0</v>
      </c>
      <c r="K485">
        <v>391.98</v>
      </c>
      <c r="L485">
        <v>337.49</v>
      </c>
      <c r="M485">
        <v>54.49</v>
      </c>
    </row>
    <row r="486" spans="1:13" x14ac:dyDescent="0.3">
      <c r="A486" t="s">
        <v>500</v>
      </c>
      <c r="B486" s="1">
        <v>45538</v>
      </c>
      <c r="C486" t="s">
        <v>520</v>
      </c>
      <c r="D486" t="s">
        <v>535</v>
      </c>
      <c r="E486" t="s">
        <v>565</v>
      </c>
      <c r="F486" t="s">
        <v>573</v>
      </c>
      <c r="G486" t="s">
        <v>585</v>
      </c>
      <c r="H486">
        <v>1</v>
      </c>
      <c r="I486">
        <v>14661.4</v>
      </c>
      <c r="J486">
        <v>0</v>
      </c>
      <c r="K486">
        <v>14661.4</v>
      </c>
      <c r="L486">
        <v>11831.75</v>
      </c>
      <c r="M486">
        <v>2829.65</v>
      </c>
    </row>
    <row r="487" spans="1:13" x14ac:dyDescent="0.3">
      <c r="A487" t="s">
        <v>501</v>
      </c>
      <c r="B487" s="1">
        <v>45532</v>
      </c>
      <c r="C487" t="s">
        <v>516</v>
      </c>
      <c r="D487" t="s">
        <v>522</v>
      </c>
      <c r="E487" t="s">
        <v>545</v>
      </c>
      <c r="F487" t="s">
        <v>573</v>
      </c>
      <c r="G487" t="s">
        <v>581</v>
      </c>
      <c r="H487">
        <v>2</v>
      </c>
      <c r="I487">
        <v>4024.46</v>
      </c>
      <c r="J487">
        <v>0</v>
      </c>
      <c r="K487">
        <v>8048.92</v>
      </c>
      <c r="L487">
        <v>5384.73</v>
      </c>
      <c r="M487">
        <v>2664.19</v>
      </c>
    </row>
    <row r="488" spans="1:13" x14ac:dyDescent="0.3">
      <c r="A488" t="s">
        <v>502</v>
      </c>
      <c r="B488" s="1">
        <v>45615</v>
      </c>
      <c r="C488" t="s">
        <v>516</v>
      </c>
      <c r="D488" t="s">
        <v>522</v>
      </c>
      <c r="E488" t="s">
        <v>539</v>
      </c>
      <c r="F488" t="s">
        <v>571</v>
      </c>
      <c r="G488" t="s">
        <v>576</v>
      </c>
      <c r="H488">
        <v>2</v>
      </c>
      <c r="I488">
        <v>34750.07</v>
      </c>
      <c r="J488">
        <v>0</v>
      </c>
      <c r="K488">
        <v>69500.14</v>
      </c>
      <c r="L488">
        <v>61577.120000000003</v>
      </c>
      <c r="M488">
        <v>7923.02</v>
      </c>
    </row>
    <row r="489" spans="1:13" x14ac:dyDescent="0.3">
      <c r="A489" t="s">
        <v>503</v>
      </c>
      <c r="B489" s="1">
        <v>45292</v>
      </c>
      <c r="C489" t="s">
        <v>516</v>
      </c>
      <c r="D489" t="s">
        <v>521</v>
      </c>
      <c r="E489" t="s">
        <v>538</v>
      </c>
      <c r="F489" t="s">
        <v>573</v>
      </c>
      <c r="G489" t="s">
        <v>581</v>
      </c>
      <c r="H489">
        <v>1</v>
      </c>
      <c r="I489">
        <v>23858.17</v>
      </c>
      <c r="J489">
        <v>0</v>
      </c>
      <c r="K489">
        <v>23858.17</v>
      </c>
      <c r="L489">
        <v>20780.47</v>
      </c>
      <c r="M489">
        <v>3077.7</v>
      </c>
    </row>
    <row r="490" spans="1:13" x14ac:dyDescent="0.3">
      <c r="A490" t="s">
        <v>504</v>
      </c>
      <c r="B490" s="1">
        <v>45347</v>
      </c>
      <c r="C490" t="s">
        <v>518</v>
      </c>
      <c r="D490" t="s">
        <v>529</v>
      </c>
      <c r="E490" t="s">
        <v>553</v>
      </c>
      <c r="F490" t="s">
        <v>573</v>
      </c>
      <c r="G490" t="s">
        <v>584</v>
      </c>
      <c r="H490">
        <v>1</v>
      </c>
      <c r="I490">
        <v>15798.88</v>
      </c>
      <c r="J490">
        <v>0</v>
      </c>
      <c r="K490">
        <v>15798.88</v>
      </c>
      <c r="L490">
        <v>14771.95</v>
      </c>
      <c r="M490">
        <v>1026.93</v>
      </c>
    </row>
    <row r="491" spans="1:13" x14ac:dyDescent="0.3">
      <c r="A491" t="s">
        <v>505</v>
      </c>
      <c r="B491" s="1">
        <v>45664</v>
      </c>
      <c r="C491" t="s">
        <v>519</v>
      </c>
      <c r="D491" t="s">
        <v>526</v>
      </c>
      <c r="E491" t="s">
        <v>562</v>
      </c>
      <c r="F491" t="s">
        <v>573</v>
      </c>
      <c r="G491" t="s">
        <v>585</v>
      </c>
      <c r="H491">
        <v>1</v>
      </c>
      <c r="I491">
        <v>2050.5300000000002</v>
      </c>
      <c r="J491">
        <v>0</v>
      </c>
      <c r="K491">
        <v>2050.5300000000002</v>
      </c>
      <c r="L491">
        <v>1580.96</v>
      </c>
      <c r="M491">
        <v>469.57</v>
      </c>
    </row>
    <row r="492" spans="1:13" x14ac:dyDescent="0.3">
      <c r="A492" t="s">
        <v>506</v>
      </c>
      <c r="B492" s="1">
        <v>45590</v>
      </c>
      <c r="C492" t="s">
        <v>517</v>
      </c>
      <c r="D492" t="s">
        <v>531</v>
      </c>
      <c r="E492" t="s">
        <v>551</v>
      </c>
      <c r="F492" t="s">
        <v>571</v>
      </c>
      <c r="G492" t="s">
        <v>574</v>
      </c>
      <c r="H492">
        <v>1</v>
      </c>
      <c r="I492">
        <v>40916.5</v>
      </c>
      <c r="J492">
        <v>0</v>
      </c>
      <c r="K492">
        <v>40916.5</v>
      </c>
      <c r="L492">
        <v>29418.959999999999</v>
      </c>
      <c r="M492">
        <v>11497.54</v>
      </c>
    </row>
    <row r="493" spans="1:13" x14ac:dyDescent="0.3">
      <c r="A493" t="s">
        <v>507</v>
      </c>
      <c r="B493" s="1">
        <v>45711</v>
      </c>
      <c r="C493" t="s">
        <v>516</v>
      </c>
      <c r="D493" t="s">
        <v>521</v>
      </c>
      <c r="E493" t="s">
        <v>538</v>
      </c>
      <c r="F493" t="s">
        <v>571</v>
      </c>
      <c r="G493" t="s">
        <v>575</v>
      </c>
      <c r="H493">
        <v>1</v>
      </c>
      <c r="I493">
        <v>74626.649999999994</v>
      </c>
      <c r="J493">
        <v>0</v>
      </c>
      <c r="K493">
        <v>74626.649999999994</v>
      </c>
      <c r="L493">
        <v>69178.899999999994</v>
      </c>
      <c r="M493">
        <v>5447.75</v>
      </c>
    </row>
    <row r="494" spans="1:13" x14ac:dyDescent="0.3">
      <c r="A494" t="s">
        <v>508</v>
      </c>
      <c r="B494" s="1">
        <v>45760</v>
      </c>
      <c r="C494" t="s">
        <v>518</v>
      </c>
      <c r="D494" t="s">
        <v>524</v>
      </c>
      <c r="E494" t="s">
        <v>541</v>
      </c>
      <c r="F494" t="s">
        <v>571</v>
      </c>
      <c r="G494" t="s">
        <v>576</v>
      </c>
      <c r="H494">
        <v>2</v>
      </c>
      <c r="I494">
        <v>6580.53</v>
      </c>
      <c r="J494">
        <v>0</v>
      </c>
      <c r="K494">
        <v>13161.06</v>
      </c>
      <c r="L494">
        <v>10542.01</v>
      </c>
      <c r="M494">
        <v>2619.0500000000002</v>
      </c>
    </row>
    <row r="495" spans="1:13" x14ac:dyDescent="0.3">
      <c r="A495" t="s">
        <v>509</v>
      </c>
      <c r="B495" s="1">
        <v>45894</v>
      </c>
      <c r="C495" t="s">
        <v>516</v>
      </c>
      <c r="D495" t="s">
        <v>522</v>
      </c>
      <c r="E495" t="s">
        <v>545</v>
      </c>
      <c r="F495" t="s">
        <v>573</v>
      </c>
      <c r="G495" t="s">
        <v>584</v>
      </c>
      <c r="H495">
        <v>2</v>
      </c>
      <c r="I495">
        <v>23992.38</v>
      </c>
      <c r="J495">
        <v>0.1</v>
      </c>
      <c r="K495">
        <v>43186.28</v>
      </c>
      <c r="L495">
        <v>35412.75</v>
      </c>
      <c r="M495">
        <v>7773.53</v>
      </c>
    </row>
    <row r="496" spans="1:13" x14ac:dyDescent="0.3">
      <c r="A496" t="s">
        <v>510</v>
      </c>
      <c r="B496" s="1">
        <v>45296</v>
      </c>
      <c r="C496" t="s">
        <v>517</v>
      </c>
      <c r="D496" t="s">
        <v>536</v>
      </c>
      <c r="E496" t="s">
        <v>560</v>
      </c>
      <c r="F496" t="s">
        <v>573</v>
      </c>
      <c r="G496" t="s">
        <v>581</v>
      </c>
      <c r="H496">
        <v>1</v>
      </c>
      <c r="I496">
        <v>23260.53</v>
      </c>
      <c r="J496">
        <v>0</v>
      </c>
      <c r="K496">
        <v>23260.53</v>
      </c>
      <c r="L496">
        <v>16375.41</v>
      </c>
      <c r="M496">
        <v>6885.12</v>
      </c>
    </row>
    <row r="497" spans="1:13" x14ac:dyDescent="0.3">
      <c r="A497" t="s">
        <v>511</v>
      </c>
      <c r="B497" s="1">
        <v>45473</v>
      </c>
      <c r="C497" t="s">
        <v>517</v>
      </c>
      <c r="D497" t="s">
        <v>523</v>
      </c>
      <c r="E497" t="s">
        <v>544</v>
      </c>
      <c r="F497" t="s">
        <v>571</v>
      </c>
      <c r="G497" t="s">
        <v>576</v>
      </c>
      <c r="H497">
        <v>2</v>
      </c>
      <c r="I497">
        <v>53629.18</v>
      </c>
      <c r="J497">
        <v>0</v>
      </c>
      <c r="K497">
        <v>107258.36</v>
      </c>
      <c r="L497">
        <v>79585.7</v>
      </c>
      <c r="M497">
        <v>27672.66</v>
      </c>
    </row>
    <row r="498" spans="1:13" x14ac:dyDescent="0.3">
      <c r="A498" t="s">
        <v>512</v>
      </c>
      <c r="B498" s="1">
        <v>45621</v>
      </c>
      <c r="C498" t="s">
        <v>517</v>
      </c>
      <c r="D498" t="s">
        <v>530</v>
      </c>
      <c r="E498" t="s">
        <v>549</v>
      </c>
      <c r="F498" t="s">
        <v>573</v>
      </c>
      <c r="G498" t="s">
        <v>585</v>
      </c>
      <c r="H498">
        <v>1</v>
      </c>
      <c r="I498">
        <v>8292.7099999999991</v>
      </c>
      <c r="J498">
        <v>0</v>
      </c>
      <c r="K498">
        <v>8292.7099999999991</v>
      </c>
      <c r="L498">
        <v>6410.26</v>
      </c>
      <c r="M498">
        <v>1882.45</v>
      </c>
    </row>
    <row r="499" spans="1:13" x14ac:dyDescent="0.3">
      <c r="A499" t="s">
        <v>513</v>
      </c>
      <c r="B499" s="1">
        <v>45593</v>
      </c>
      <c r="C499" t="s">
        <v>519</v>
      </c>
      <c r="D499" t="s">
        <v>533</v>
      </c>
      <c r="E499" t="s">
        <v>570</v>
      </c>
      <c r="F499" t="s">
        <v>572</v>
      </c>
      <c r="G499" t="s">
        <v>587</v>
      </c>
      <c r="H499">
        <v>1</v>
      </c>
      <c r="I499">
        <v>1415.03</v>
      </c>
      <c r="J499">
        <v>0</v>
      </c>
      <c r="K499">
        <v>1415.03</v>
      </c>
      <c r="L499">
        <v>1306.07</v>
      </c>
      <c r="M499">
        <v>108.96</v>
      </c>
    </row>
    <row r="500" spans="1:13" x14ac:dyDescent="0.3">
      <c r="A500" t="s">
        <v>514</v>
      </c>
      <c r="B500" s="1">
        <v>45598</v>
      </c>
      <c r="C500" t="s">
        <v>517</v>
      </c>
      <c r="D500" t="s">
        <v>531</v>
      </c>
      <c r="E500" t="s">
        <v>551</v>
      </c>
      <c r="F500" t="s">
        <v>571</v>
      </c>
      <c r="G500" t="s">
        <v>574</v>
      </c>
      <c r="H500">
        <v>3</v>
      </c>
      <c r="I500">
        <v>51060.9</v>
      </c>
      <c r="J500">
        <v>0</v>
      </c>
      <c r="K500">
        <v>153182.70000000001</v>
      </c>
      <c r="L500">
        <v>139243.07</v>
      </c>
      <c r="M500">
        <v>13939.63</v>
      </c>
    </row>
    <row r="501" spans="1:13" x14ac:dyDescent="0.3">
      <c r="A501" t="s">
        <v>515</v>
      </c>
      <c r="B501" s="1">
        <v>45645</v>
      </c>
      <c r="C501" t="s">
        <v>518</v>
      </c>
      <c r="D501" t="s">
        <v>524</v>
      </c>
      <c r="E501" t="s">
        <v>550</v>
      </c>
      <c r="F501" t="s">
        <v>573</v>
      </c>
      <c r="G501" t="s">
        <v>584</v>
      </c>
      <c r="H501">
        <v>4</v>
      </c>
      <c r="I501">
        <v>17969.18</v>
      </c>
      <c r="J501">
        <v>0</v>
      </c>
      <c r="K501">
        <v>71876.72</v>
      </c>
      <c r="L501">
        <v>58651.4</v>
      </c>
      <c r="M501">
        <v>13225.32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62CD8-C632-46BD-9C93-F1AE3750397B}">
  <dimension ref="A1:P501"/>
  <sheetViews>
    <sheetView topLeftCell="A490" workbookViewId="0">
      <selection activeCell="B518" sqref="B518"/>
    </sheetView>
  </sheetViews>
  <sheetFormatPr defaultRowHeight="14.4" x14ac:dyDescent="0.3"/>
  <cols>
    <col min="1" max="1" width="9.77734375" bestFit="1" customWidth="1"/>
    <col min="2" max="2" width="11.88671875" bestFit="1" customWidth="1"/>
    <col min="3" max="3" width="9" bestFit="1" customWidth="1"/>
    <col min="4" max="4" width="14.5546875" bestFit="1" customWidth="1"/>
    <col min="5" max="5" width="18.109375" bestFit="1" customWidth="1"/>
    <col min="6" max="6" width="13.109375" bestFit="1" customWidth="1"/>
    <col min="7" max="7" width="9.88671875" bestFit="1" customWidth="1"/>
    <col min="8" max="8" width="10.5546875" bestFit="1" customWidth="1"/>
    <col min="9" max="9" width="10.88671875" bestFit="1" customWidth="1"/>
    <col min="10" max="10" width="10.5546875" bestFit="1" customWidth="1"/>
    <col min="11" max="12" width="11.88671875" bestFit="1" customWidth="1"/>
    <col min="13" max="13" width="10.44140625" bestFit="1" customWidth="1"/>
    <col min="14" max="14" width="6.88671875" bestFit="1" customWidth="1"/>
    <col min="15" max="15" width="9" bestFit="1" customWidth="1"/>
    <col min="16" max="16" width="12.6640625" bestFit="1" customWidth="1"/>
  </cols>
  <sheetData>
    <row r="1" spans="1:16" x14ac:dyDescent="0.3">
      <c r="A1" s="3" t="s">
        <v>0</v>
      </c>
      <c r="B1" s="3" t="s">
        <v>1</v>
      </c>
      <c r="C1" s="3" t="s">
        <v>2</v>
      </c>
      <c r="D1" s="3" t="s">
        <v>3</v>
      </c>
      <c r="E1" s="3" t="s">
        <v>4</v>
      </c>
      <c r="F1" s="3" t="s">
        <v>5</v>
      </c>
      <c r="G1" s="3" t="s">
        <v>6</v>
      </c>
      <c r="H1" s="3" t="s">
        <v>7</v>
      </c>
      <c r="I1" s="3" t="s">
        <v>8</v>
      </c>
      <c r="J1" s="3" t="s">
        <v>9</v>
      </c>
      <c r="K1" s="3" t="s">
        <v>10</v>
      </c>
      <c r="L1" s="3" t="s">
        <v>11</v>
      </c>
      <c r="M1" s="3" t="s">
        <v>12</v>
      </c>
      <c r="N1" t="s">
        <v>13</v>
      </c>
      <c r="O1" t="s">
        <v>14</v>
      </c>
      <c r="P1" t="s">
        <v>15</v>
      </c>
    </row>
    <row r="2" spans="1:16" x14ac:dyDescent="0.3">
      <c r="A2" s="3" t="s">
        <v>16</v>
      </c>
      <c r="B2" s="4">
        <v>45406</v>
      </c>
      <c r="C2" s="3" t="s">
        <v>516</v>
      </c>
      <c r="D2" s="3" t="s">
        <v>521</v>
      </c>
      <c r="E2" s="3" t="s">
        <v>538</v>
      </c>
      <c r="F2" s="3" t="s">
        <v>571</v>
      </c>
      <c r="G2" s="3" t="s">
        <v>574</v>
      </c>
      <c r="H2" s="3">
        <v>1</v>
      </c>
      <c r="I2" s="5">
        <v>59708.28</v>
      </c>
      <c r="J2" s="3">
        <v>0</v>
      </c>
      <c r="K2" s="5">
        <v>59708.28</v>
      </c>
      <c r="L2" s="5">
        <v>39706.01</v>
      </c>
      <c r="M2" s="5">
        <v>20002.27</v>
      </c>
      <c r="N2">
        <f>YEAR(CleanedSalesData[[#This Row],[OrderDate]])</f>
        <v>2024</v>
      </c>
      <c r="O2">
        <f>MONTH(CleanedSalesData[[#This Row],[OrderDate]])</f>
        <v>4</v>
      </c>
      <c r="P2" t="str">
        <f>TEXT(CleanedSalesData[[#This Row],[OrderDate]], "yyyy-mm")</f>
        <v>2024-04</v>
      </c>
    </row>
    <row r="3" spans="1:16" x14ac:dyDescent="0.3">
      <c r="A3" s="3" t="s">
        <v>17</v>
      </c>
      <c r="B3" s="4">
        <v>45850</v>
      </c>
      <c r="C3" s="3" t="s">
        <v>516</v>
      </c>
      <c r="D3" s="3" t="s">
        <v>522</v>
      </c>
      <c r="E3" s="3" t="s">
        <v>539</v>
      </c>
      <c r="F3" s="3" t="s">
        <v>571</v>
      </c>
      <c r="G3" s="3" t="s">
        <v>575</v>
      </c>
      <c r="H3" s="3">
        <v>2</v>
      </c>
      <c r="I3" s="5">
        <v>19835.12</v>
      </c>
      <c r="J3" s="3">
        <v>0</v>
      </c>
      <c r="K3" s="5">
        <v>39670.239999999998</v>
      </c>
      <c r="L3" s="5">
        <v>30546.080000000002</v>
      </c>
      <c r="M3" s="5">
        <v>9124.16</v>
      </c>
      <c r="N3">
        <f>YEAR(CleanedSalesData[[#This Row],[OrderDate]])</f>
        <v>2025</v>
      </c>
      <c r="O3">
        <f>MONTH(CleanedSalesData[[#This Row],[OrderDate]])</f>
        <v>7</v>
      </c>
      <c r="P3" t="str">
        <f>TEXT(CleanedSalesData[[#This Row],[OrderDate]], "yyyy-mm")</f>
        <v>2025-07</v>
      </c>
    </row>
    <row r="4" spans="1:16" x14ac:dyDescent="0.3">
      <c r="A4" s="3" t="s">
        <v>18</v>
      </c>
      <c r="B4" s="4">
        <v>45319</v>
      </c>
      <c r="C4" s="3" t="s">
        <v>517</v>
      </c>
      <c r="D4" s="3" t="s">
        <v>523</v>
      </c>
      <c r="E4" s="3" t="s">
        <v>540</v>
      </c>
      <c r="F4" s="3" t="s">
        <v>571</v>
      </c>
      <c r="G4" s="3" t="s">
        <v>576</v>
      </c>
      <c r="H4" s="3">
        <v>1</v>
      </c>
      <c r="I4" s="5">
        <v>48373.46</v>
      </c>
      <c r="J4" s="3">
        <v>0</v>
      </c>
      <c r="K4" s="5">
        <v>48373.46</v>
      </c>
      <c r="L4" s="5">
        <v>43681.23</v>
      </c>
      <c r="M4" s="5">
        <v>4692.2299999999996</v>
      </c>
      <c r="N4">
        <f>YEAR(CleanedSalesData[[#This Row],[OrderDate]])</f>
        <v>2024</v>
      </c>
      <c r="O4">
        <f>MONTH(CleanedSalesData[[#This Row],[OrderDate]])</f>
        <v>1</v>
      </c>
      <c r="P4" t="str">
        <f>TEXT(CleanedSalesData[[#This Row],[OrderDate]], "yyyy-mm")</f>
        <v>2024-01</v>
      </c>
    </row>
    <row r="5" spans="1:16" x14ac:dyDescent="0.3">
      <c r="A5" s="3" t="s">
        <v>19</v>
      </c>
      <c r="B5" s="4">
        <v>45298</v>
      </c>
      <c r="C5" s="3" t="s">
        <v>518</v>
      </c>
      <c r="D5" s="3" t="s">
        <v>524</v>
      </c>
      <c r="E5" s="3" t="s">
        <v>541</v>
      </c>
      <c r="F5" s="3" t="s">
        <v>572</v>
      </c>
      <c r="G5" s="3" t="s">
        <v>577</v>
      </c>
      <c r="H5" s="3">
        <v>1</v>
      </c>
      <c r="I5" s="5">
        <v>353.19</v>
      </c>
      <c r="J5" s="3">
        <v>0</v>
      </c>
      <c r="K5" s="5">
        <v>353.19</v>
      </c>
      <c r="L5" s="5">
        <v>243.7</v>
      </c>
      <c r="M5" s="5">
        <v>109.49</v>
      </c>
      <c r="N5">
        <f>YEAR(CleanedSalesData[[#This Row],[OrderDate]])</f>
        <v>2024</v>
      </c>
      <c r="O5">
        <f>MONTH(CleanedSalesData[[#This Row],[OrderDate]])</f>
        <v>1</v>
      </c>
      <c r="P5" t="str">
        <f>TEXT(CleanedSalesData[[#This Row],[OrderDate]], "yyyy-mm")</f>
        <v>2024-01</v>
      </c>
    </row>
    <row r="6" spans="1:16" x14ac:dyDescent="0.3">
      <c r="A6" s="3" t="s">
        <v>20</v>
      </c>
      <c r="B6" s="4">
        <v>45636</v>
      </c>
      <c r="C6" s="3" t="s">
        <v>516</v>
      </c>
      <c r="D6" s="3" t="s">
        <v>525</v>
      </c>
      <c r="E6" s="3" t="s">
        <v>542</v>
      </c>
      <c r="F6" s="3" t="s">
        <v>571</v>
      </c>
      <c r="G6" s="3" t="s">
        <v>578</v>
      </c>
      <c r="H6" s="3">
        <v>1</v>
      </c>
      <c r="I6" s="5">
        <v>68257.070000000007</v>
      </c>
      <c r="J6" s="3">
        <v>0</v>
      </c>
      <c r="K6" s="5">
        <v>68257.070000000007</v>
      </c>
      <c r="L6" s="5">
        <v>50373.72</v>
      </c>
      <c r="M6" s="5">
        <v>17883.349999999999</v>
      </c>
      <c r="N6">
        <f>YEAR(CleanedSalesData[[#This Row],[OrderDate]])</f>
        <v>2024</v>
      </c>
      <c r="O6">
        <f>MONTH(CleanedSalesData[[#This Row],[OrderDate]])</f>
        <v>12</v>
      </c>
      <c r="P6" t="str">
        <f>TEXT(CleanedSalesData[[#This Row],[OrderDate]], "yyyy-mm")</f>
        <v>2024-12</v>
      </c>
    </row>
    <row r="7" spans="1:16" x14ac:dyDescent="0.3">
      <c r="A7" s="3" t="s">
        <v>21</v>
      </c>
      <c r="B7" s="4">
        <v>45336</v>
      </c>
      <c r="C7" s="3" t="s">
        <v>519</v>
      </c>
      <c r="D7" s="3" t="s">
        <v>526</v>
      </c>
      <c r="E7" s="3" t="s">
        <v>543</v>
      </c>
      <c r="F7" s="3" t="s">
        <v>571</v>
      </c>
      <c r="G7" s="3" t="s">
        <v>579</v>
      </c>
      <c r="H7" s="3">
        <v>1</v>
      </c>
      <c r="I7" s="5">
        <v>25574.73</v>
      </c>
      <c r="J7" s="3">
        <v>0</v>
      </c>
      <c r="K7" s="5">
        <v>25574.73</v>
      </c>
      <c r="L7" s="5">
        <v>16853.75</v>
      </c>
      <c r="M7" s="5">
        <v>8720.98</v>
      </c>
      <c r="N7">
        <f>YEAR(CleanedSalesData[[#This Row],[OrderDate]])</f>
        <v>2024</v>
      </c>
      <c r="O7">
        <f>MONTH(CleanedSalesData[[#This Row],[OrderDate]])</f>
        <v>2</v>
      </c>
      <c r="P7" t="str">
        <f>TEXT(CleanedSalesData[[#This Row],[OrderDate]], "yyyy-mm")</f>
        <v>2024-02</v>
      </c>
    </row>
    <row r="8" spans="1:16" x14ac:dyDescent="0.3">
      <c r="A8" s="3" t="s">
        <v>22</v>
      </c>
      <c r="B8" s="4">
        <v>45662</v>
      </c>
      <c r="C8" s="3" t="s">
        <v>517</v>
      </c>
      <c r="D8" s="3" t="s">
        <v>523</v>
      </c>
      <c r="E8" s="3" t="s">
        <v>544</v>
      </c>
      <c r="F8" s="3" t="s">
        <v>571</v>
      </c>
      <c r="G8" s="3" t="s">
        <v>574</v>
      </c>
      <c r="H8" s="3">
        <v>2</v>
      </c>
      <c r="I8" s="5">
        <v>62526.26</v>
      </c>
      <c r="J8" s="3">
        <v>0</v>
      </c>
      <c r="K8" s="5">
        <v>125052.52</v>
      </c>
      <c r="L8" s="5">
        <v>110796.53</v>
      </c>
      <c r="M8" s="5">
        <v>14255.99</v>
      </c>
      <c r="N8">
        <f>YEAR(CleanedSalesData[[#This Row],[OrderDate]])</f>
        <v>2025</v>
      </c>
      <c r="O8">
        <f>MONTH(CleanedSalesData[[#This Row],[OrderDate]])</f>
        <v>1</v>
      </c>
      <c r="P8" t="str">
        <f>TEXT(CleanedSalesData[[#This Row],[OrderDate]], "yyyy-mm")</f>
        <v>2025-01</v>
      </c>
    </row>
    <row r="9" spans="1:16" x14ac:dyDescent="0.3">
      <c r="A9" s="3" t="s">
        <v>23</v>
      </c>
      <c r="B9" s="4">
        <v>45530</v>
      </c>
      <c r="C9" s="3" t="s">
        <v>516</v>
      </c>
      <c r="D9" s="3" t="s">
        <v>522</v>
      </c>
      <c r="E9" s="3" t="s">
        <v>545</v>
      </c>
      <c r="F9" s="3" t="s">
        <v>572</v>
      </c>
      <c r="G9" s="3" t="s">
        <v>577</v>
      </c>
      <c r="H9" s="3">
        <v>1</v>
      </c>
      <c r="I9" s="5">
        <v>367.18</v>
      </c>
      <c r="J9" s="3">
        <v>0</v>
      </c>
      <c r="K9" s="5">
        <v>367.18</v>
      </c>
      <c r="L9" s="5">
        <v>328.63</v>
      </c>
      <c r="M9" s="5">
        <v>38.549999999999997</v>
      </c>
      <c r="N9">
        <f>YEAR(CleanedSalesData[[#This Row],[OrderDate]])</f>
        <v>2024</v>
      </c>
      <c r="O9">
        <f>MONTH(CleanedSalesData[[#This Row],[OrderDate]])</f>
        <v>8</v>
      </c>
      <c r="P9" t="str">
        <f>TEXT(CleanedSalesData[[#This Row],[OrderDate]], "yyyy-mm")</f>
        <v>2024-08</v>
      </c>
    </row>
    <row r="10" spans="1:16" x14ac:dyDescent="0.3">
      <c r="A10" s="3" t="s">
        <v>24</v>
      </c>
      <c r="B10" s="4">
        <v>45565</v>
      </c>
      <c r="C10" s="3" t="s">
        <v>516</v>
      </c>
      <c r="D10" s="3" t="s">
        <v>527</v>
      </c>
      <c r="E10" s="3" t="s">
        <v>546</v>
      </c>
      <c r="F10" s="3" t="s">
        <v>571</v>
      </c>
      <c r="G10" s="3" t="s">
        <v>576</v>
      </c>
      <c r="H10" s="3">
        <v>1</v>
      </c>
      <c r="I10" s="5">
        <v>32218.07</v>
      </c>
      <c r="J10" s="3">
        <v>0</v>
      </c>
      <c r="K10" s="5">
        <v>32218.07</v>
      </c>
      <c r="L10" s="5">
        <v>25548.93</v>
      </c>
      <c r="M10" s="5">
        <v>6669.14</v>
      </c>
      <c r="N10">
        <f>YEAR(CleanedSalesData[[#This Row],[OrderDate]])</f>
        <v>2024</v>
      </c>
      <c r="O10">
        <f>MONTH(CleanedSalesData[[#This Row],[OrderDate]])</f>
        <v>9</v>
      </c>
      <c r="P10" t="str">
        <f>TEXT(CleanedSalesData[[#This Row],[OrderDate]], "yyyy-mm")</f>
        <v>2024-09</v>
      </c>
    </row>
    <row r="11" spans="1:16" x14ac:dyDescent="0.3">
      <c r="A11" s="3" t="s">
        <v>25</v>
      </c>
      <c r="B11" s="4">
        <v>45862</v>
      </c>
      <c r="C11" s="3" t="s">
        <v>518</v>
      </c>
      <c r="D11" s="3" t="s">
        <v>524</v>
      </c>
      <c r="E11" s="3" t="s">
        <v>541</v>
      </c>
      <c r="F11" s="3" t="s">
        <v>571</v>
      </c>
      <c r="G11" s="3" t="s">
        <v>574</v>
      </c>
      <c r="H11" s="3">
        <v>1</v>
      </c>
      <c r="I11" s="5">
        <v>66278.8</v>
      </c>
      <c r="J11" s="3">
        <v>0</v>
      </c>
      <c r="K11" s="5">
        <v>66278.8</v>
      </c>
      <c r="L11" s="5">
        <v>57198.6</v>
      </c>
      <c r="M11" s="5">
        <v>9080.2000000000007</v>
      </c>
      <c r="N11">
        <f>YEAR(CleanedSalesData[[#This Row],[OrderDate]])</f>
        <v>2025</v>
      </c>
      <c r="O11">
        <f>MONTH(CleanedSalesData[[#This Row],[OrderDate]])</f>
        <v>7</v>
      </c>
      <c r="P11" t="str">
        <f>TEXT(CleanedSalesData[[#This Row],[OrderDate]], "yyyy-mm")</f>
        <v>2025-07</v>
      </c>
    </row>
    <row r="12" spans="1:16" x14ac:dyDescent="0.3">
      <c r="A12" s="3" t="s">
        <v>26</v>
      </c>
      <c r="B12" s="4">
        <v>45702</v>
      </c>
      <c r="C12" s="3" t="s">
        <v>520</v>
      </c>
      <c r="D12" s="3" t="s">
        <v>528</v>
      </c>
      <c r="E12" s="3" t="s">
        <v>547</v>
      </c>
      <c r="F12" s="3" t="s">
        <v>573</v>
      </c>
      <c r="G12" s="3" t="s">
        <v>580</v>
      </c>
      <c r="H12" s="3">
        <v>1</v>
      </c>
      <c r="I12" s="5">
        <v>6890.41</v>
      </c>
      <c r="J12" s="3">
        <v>0</v>
      </c>
      <c r="K12" s="5">
        <v>6890.41</v>
      </c>
      <c r="L12" s="5">
        <v>6256.49</v>
      </c>
      <c r="M12" s="5">
        <v>633.91999999999996</v>
      </c>
      <c r="N12">
        <f>YEAR(CleanedSalesData[[#This Row],[OrderDate]])</f>
        <v>2025</v>
      </c>
      <c r="O12">
        <f>MONTH(CleanedSalesData[[#This Row],[OrderDate]])</f>
        <v>2</v>
      </c>
      <c r="P12" t="str">
        <f>TEXT(CleanedSalesData[[#This Row],[OrderDate]], "yyyy-mm")</f>
        <v>2025-02</v>
      </c>
    </row>
    <row r="13" spans="1:16" x14ac:dyDescent="0.3">
      <c r="A13" s="3" t="s">
        <v>27</v>
      </c>
      <c r="B13" s="4">
        <v>45761</v>
      </c>
      <c r="C13" s="3" t="s">
        <v>518</v>
      </c>
      <c r="D13" s="3" t="s">
        <v>529</v>
      </c>
      <c r="E13" s="3" t="s">
        <v>548</v>
      </c>
      <c r="F13" s="3" t="s">
        <v>571</v>
      </c>
      <c r="G13" s="3" t="s">
        <v>579</v>
      </c>
      <c r="H13" s="3">
        <v>1</v>
      </c>
      <c r="I13" s="5">
        <v>44501.25</v>
      </c>
      <c r="J13" s="3">
        <v>0</v>
      </c>
      <c r="K13" s="5">
        <v>44501.25</v>
      </c>
      <c r="L13" s="5">
        <v>37381.050000000003</v>
      </c>
      <c r="M13" s="5">
        <v>7120.2</v>
      </c>
      <c r="N13">
        <f>YEAR(CleanedSalesData[[#This Row],[OrderDate]])</f>
        <v>2025</v>
      </c>
      <c r="O13">
        <f>MONTH(CleanedSalesData[[#This Row],[OrderDate]])</f>
        <v>4</v>
      </c>
      <c r="P13" t="str">
        <f>TEXT(CleanedSalesData[[#This Row],[OrderDate]], "yyyy-mm")</f>
        <v>2025-04</v>
      </c>
    </row>
    <row r="14" spans="1:16" x14ac:dyDescent="0.3">
      <c r="A14" s="3" t="s">
        <v>28</v>
      </c>
      <c r="B14" s="4">
        <v>45730</v>
      </c>
      <c r="C14" s="3" t="s">
        <v>517</v>
      </c>
      <c r="D14" s="3" t="s">
        <v>530</v>
      </c>
      <c r="E14" s="3" t="s">
        <v>549</v>
      </c>
      <c r="F14" s="3" t="s">
        <v>571</v>
      </c>
      <c r="G14" s="3" t="s">
        <v>574</v>
      </c>
      <c r="H14" s="3">
        <v>1</v>
      </c>
      <c r="I14" s="5">
        <v>42233.52</v>
      </c>
      <c r="J14" s="3">
        <v>0.05</v>
      </c>
      <c r="K14" s="5">
        <v>40121.839999999997</v>
      </c>
      <c r="L14" s="5">
        <v>28646.99</v>
      </c>
      <c r="M14" s="5">
        <v>11474.85</v>
      </c>
      <c r="N14">
        <f>YEAR(CleanedSalesData[[#This Row],[OrderDate]])</f>
        <v>2025</v>
      </c>
      <c r="O14">
        <f>MONTH(CleanedSalesData[[#This Row],[OrderDate]])</f>
        <v>3</v>
      </c>
      <c r="P14" t="str">
        <f>TEXT(CleanedSalesData[[#This Row],[OrderDate]], "yyyy-mm")</f>
        <v>2025-03</v>
      </c>
    </row>
    <row r="15" spans="1:16" x14ac:dyDescent="0.3">
      <c r="A15" s="3" t="s">
        <v>29</v>
      </c>
      <c r="B15" s="4">
        <v>45404</v>
      </c>
      <c r="C15" s="3" t="s">
        <v>518</v>
      </c>
      <c r="D15" s="3" t="s">
        <v>524</v>
      </c>
      <c r="E15" s="3" t="s">
        <v>550</v>
      </c>
      <c r="F15" s="3" t="s">
        <v>573</v>
      </c>
      <c r="G15" s="3" t="s">
        <v>581</v>
      </c>
      <c r="H15" s="3">
        <v>1</v>
      </c>
      <c r="I15" s="5">
        <v>15717.41</v>
      </c>
      <c r="J15" s="3">
        <v>0</v>
      </c>
      <c r="K15" s="5">
        <v>15717.41</v>
      </c>
      <c r="L15" s="5">
        <v>12511.06</v>
      </c>
      <c r="M15" s="5">
        <v>3206.35</v>
      </c>
      <c r="N15">
        <f>YEAR(CleanedSalesData[[#This Row],[OrderDate]])</f>
        <v>2024</v>
      </c>
      <c r="O15">
        <f>MONTH(CleanedSalesData[[#This Row],[OrderDate]])</f>
        <v>4</v>
      </c>
      <c r="P15" t="str">
        <f>TEXT(CleanedSalesData[[#This Row],[OrderDate]], "yyyy-mm")</f>
        <v>2024-04</v>
      </c>
    </row>
    <row r="16" spans="1:16" x14ac:dyDescent="0.3">
      <c r="A16" s="3" t="s">
        <v>30</v>
      </c>
      <c r="B16" s="4">
        <v>45771</v>
      </c>
      <c r="C16" s="3" t="s">
        <v>517</v>
      </c>
      <c r="D16" s="3" t="s">
        <v>531</v>
      </c>
      <c r="E16" s="3" t="s">
        <v>551</v>
      </c>
      <c r="F16" s="3" t="s">
        <v>573</v>
      </c>
      <c r="G16" s="3" t="s">
        <v>582</v>
      </c>
      <c r="H16">
        <v>1</v>
      </c>
      <c r="I16" s="5">
        <v>17679.34</v>
      </c>
      <c r="J16">
        <v>0</v>
      </c>
      <c r="K16" s="5">
        <v>17679.34</v>
      </c>
      <c r="L16" s="5">
        <v>16547.86</v>
      </c>
      <c r="M16" s="5">
        <v>1131.48</v>
      </c>
      <c r="N16">
        <f>YEAR(CleanedSalesData[[#This Row],[OrderDate]])</f>
        <v>2025</v>
      </c>
      <c r="O16">
        <f>MONTH(CleanedSalesData[[#This Row],[OrderDate]])</f>
        <v>4</v>
      </c>
      <c r="P16" t="str">
        <f>TEXT(CleanedSalesData[[#This Row],[OrderDate]], "yyyy-mm")</f>
        <v>2025-04</v>
      </c>
    </row>
    <row r="17" spans="1:16" x14ac:dyDescent="0.3">
      <c r="A17" s="3" t="s">
        <v>31</v>
      </c>
      <c r="B17" s="4">
        <v>45565</v>
      </c>
      <c r="C17" s="3" t="s">
        <v>520</v>
      </c>
      <c r="D17" s="3" t="s">
        <v>528</v>
      </c>
      <c r="E17" s="3" t="s">
        <v>552</v>
      </c>
      <c r="F17" s="3" t="s">
        <v>572</v>
      </c>
      <c r="G17" s="3" t="s">
        <v>583</v>
      </c>
      <c r="H17">
        <v>1</v>
      </c>
      <c r="I17" s="5">
        <v>934.76</v>
      </c>
      <c r="J17">
        <v>0</v>
      </c>
      <c r="K17" s="5">
        <v>934.76</v>
      </c>
      <c r="L17" s="5">
        <v>840.35</v>
      </c>
      <c r="M17" s="5">
        <v>94.41</v>
      </c>
      <c r="N17">
        <f>YEAR(CleanedSalesData[[#This Row],[OrderDate]])</f>
        <v>2024</v>
      </c>
      <c r="O17">
        <f>MONTH(CleanedSalesData[[#This Row],[OrderDate]])</f>
        <v>9</v>
      </c>
      <c r="P17" t="str">
        <f>TEXT(CleanedSalesData[[#This Row],[OrderDate]], "yyyy-mm")</f>
        <v>2024-09</v>
      </c>
    </row>
    <row r="18" spans="1:16" x14ac:dyDescent="0.3">
      <c r="A18" s="3" t="s">
        <v>32</v>
      </c>
      <c r="B18" s="4">
        <v>45561</v>
      </c>
      <c r="C18" s="3" t="s">
        <v>517</v>
      </c>
      <c r="D18" s="3" t="s">
        <v>523</v>
      </c>
      <c r="E18" s="3" t="s">
        <v>544</v>
      </c>
      <c r="F18" s="3" t="s">
        <v>573</v>
      </c>
      <c r="G18" s="3" t="s">
        <v>580</v>
      </c>
      <c r="H18">
        <v>1</v>
      </c>
      <c r="I18" s="5">
        <v>21358.400000000001</v>
      </c>
      <c r="J18">
        <v>0</v>
      </c>
      <c r="K18" s="5">
        <v>21358.400000000001</v>
      </c>
      <c r="L18" s="5">
        <v>14203.34</v>
      </c>
      <c r="M18" s="5">
        <v>7155.06</v>
      </c>
      <c r="N18">
        <f>YEAR(CleanedSalesData[[#This Row],[OrderDate]])</f>
        <v>2024</v>
      </c>
      <c r="O18">
        <f>MONTH(CleanedSalesData[[#This Row],[OrderDate]])</f>
        <v>9</v>
      </c>
      <c r="P18" t="str">
        <f>TEXT(CleanedSalesData[[#This Row],[OrderDate]], "yyyy-mm")</f>
        <v>2024-09</v>
      </c>
    </row>
    <row r="19" spans="1:16" x14ac:dyDescent="0.3">
      <c r="A19" s="3" t="s">
        <v>33</v>
      </c>
      <c r="B19" s="4">
        <v>45495</v>
      </c>
      <c r="C19" s="3" t="s">
        <v>518</v>
      </c>
      <c r="D19" s="3" t="s">
        <v>529</v>
      </c>
      <c r="E19" s="3" t="s">
        <v>548</v>
      </c>
      <c r="F19" s="3" t="s">
        <v>573</v>
      </c>
      <c r="G19" s="3" t="s">
        <v>584</v>
      </c>
      <c r="H19">
        <v>4</v>
      </c>
      <c r="I19" s="5">
        <v>23125.35</v>
      </c>
      <c r="J19">
        <v>0</v>
      </c>
      <c r="K19" s="5">
        <v>92501.4</v>
      </c>
      <c r="L19" s="5">
        <v>65398.49</v>
      </c>
      <c r="M19" s="5">
        <v>27102.91</v>
      </c>
      <c r="N19">
        <f>YEAR(CleanedSalesData[[#This Row],[OrderDate]])</f>
        <v>2024</v>
      </c>
      <c r="O19">
        <f>MONTH(CleanedSalesData[[#This Row],[OrderDate]])</f>
        <v>7</v>
      </c>
      <c r="P19" t="str">
        <f>TEXT(CleanedSalesData[[#This Row],[OrderDate]], "yyyy-mm")</f>
        <v>2024-07</v>
      </c>
    </row>
    <row r="20" spans="1:16" x14ac:dyDescent="0.3">
      <c r="A20" s="3" t="s">
        <v>34</v>
      </c>
      <c r="B20" s="4">
        <v>45792</v>
      </c>
      <c r="C20" s="3" t="s">
        <v>516</v>
      </c>
      <c r="D20" s="3" t="s">
        <v>525</v>
      </c>
      <c r="E20" s="3" t="s">
        <v>542</v>
      </c>
      <c r="F20" s="3" t="s">
        <v>572</v>
      </c>
      <c r="G20" s="3" t="s">
        <v>583</v>
      </c>
      <c r="H20">
        <v>1</v>
      </c>
      <c r="I20" s="5">
        <v>162.94999999999999</v>
      </c>
      <c r="J20">
        <v>0</v>
      </c>
      <c r="K20" s="5">
        <v>162.94999999999999</v>
      </c>
      <c r="L20" s="5">
        <v>150.08000000000001</v>
      </c>
      <c r="M20" s="5">
        <v>12.87</v>
      </c>
      <c r="N20">
        <f>YEAR(CleanedSalesData[[#This Row],[OrderDate]])</f>
        <v>2025</v>
      </c>
      <c r="O20">
        <f>MONTH(CleanedSalesData[[#This Row],[OrderDate]])</f>
        <v>5</v>
      </c>
      <c r="P20" t="str">
        <f>TEXT(CleanedSalesData[[#This Row],[OrderDate]], "yyyy-mm")</f>
        <v>2025-05</v>
      </c>
    </row>
    <row r="21" spans="1:16" x14ac:dyDescent="0.3">
      <c r="A21" s="3" t="s">
        <v>35</v>
      </c>
      <c r="B21" s="4">
        <v>45372</v>
      </c>
      <c r="C21" s="3" t="s">
        <v>516</v>
      </c>
      <c r="D21" s="3" t="s">
        <v>522</v>
      </c>
      <c r="E21" s="3" t="s">
        <v>539</v>
      </c>
      <c r="F21" s="3" t="s">
        <v>573</v>
      </c>
      <c r="G21" s="3" t="s">
        <v>585</v>
      </c>
      <c r="H21">
        <v>2</v>
      </c>
      <c r="I21" s="5">
        <v>4953</v>
      </c>
      <c r="J21">
        <v>0</v>
      </c>
      <c r="K21" s="5">
        <v>9906</v>
      </c>
      <c r="L21" s="5">
        <v>8103.11</v>
      </c>
      <c r="M21" s="5">
        <v>1802.89</v>
      </c>
      <c r="N21">
        <f>YEAR(CleanedSalesData[[#This Row],[OrderDate]])</f>
        <v>2024</v>
      </c>
      <c r="O21">
        <f>MONTH(CleanedSalesData[[#This Row],[OrderDate]])</f>
        <v>3</v>
      </c>
      <c r="P21" t="str">
        <f>TEXT(CleanedSalesData[[#This Row],[OrderDate]], "yyyy-mm")</f>
        <v>2024-03</v>
      </c>
    </row>
    <row r="22" spans="1:16" x14ac:dyDescent="0.3">
      <c r="A22" s="3" t="s">
        <v>36</v>
      </c>
      <c r="B22" s="4">
        <v>45854</v>
      </c>
      <c r="C22" s="3" t="s">
        <v>518</v>
      </c>
      <c r="D22" s="3" t="s">
        <v>529</v>
      </c>
      <c r="E22" s="3" t="s">
        <v>553</v>
      </c>
      <c r="F22" s="3" t="s">
        <v>571</v>
      </c>
      <c r="G22" s="3" t="s">
        <v>579</v>
      </c>
      <c r="H22">
        <v>1</v>
      </c>
      <c r="I22" s="5">
        <v>61155.42</v>
      </c>
      <c r="J22">
        <v>0</v>
      </c>
      <c r="K22" s="5">
        <v>61155.42</v>
      </c>
      <c r="L22" s="5">
        <v>48985.49</v>
      </c>
      <c r="M22" s="5">
        <v>12169.93</v>
      </c>
      <c r="N22">
        <f>YEAR(CleanedSalesData[[#This Row],[OrderDate]])</f>
        <v>2025</v>
      </c>
      <c r="O22">
        <f>MONTH(CleanedSalesData[[#This Row],[OrderDate]])</f>
        <v>7</v>
      </c>
      <c r="P22" t="str">
        <f>TEXT(CleanedSalesData[[#This Row],[OrderDate]], "yyyy-mm")</f>
        <v>2025-07</v>
      </c>
    </row>
    <row r="23" spans="1:16" x14ac:dyDescent="0.3">
      <c r="A23" s="3" t="s">
        <v>37</v>
      </c>
      <c r="B23" s="4">
        <v>45611</v>
      </c>
      <c r="C23" s="3" t="s">
        <v>519</v>
      </c>
      <c r="D23" s="3" t="s">
        <v>532</v>
      </c>
      <c r="E23" s="3" t="s">
        <v>554</v>
      </c>
      <c r="F23" s="3" t="s">
        <v>573</v>
      </c>
      <c r="G23" s="3" t="s">
        <v>581</v>
      </c>
      <c r="H23">
        <v>1</v>
      </c>
      <c r="I23" s="5">
        <v>4783.1000000000004</v>
      </c>
      <c r="J23">
        <v>0</v>
      </c>
      <c r="K23" s="5">
        <v>4783.1000000000004</v>
      </c>
      <c r="L23" s="5">
        <v>3238.16</v>
      </c>
      <c r="M23" s="5">
        <v>1544.94</v>
      </c>
      <c r="N23">
        <f>YEAR(CleanedSalesData[[#This Row],[OrderDate]])</f>
        <v>2024</v>
      </c>
      <c r="O23">
        <f>MONTH(CleanedSalesData[[#This Row],[OrderDate]])</f>
        <v>11</v>
      </c>
      <c r="P23" t="str">
        <f>TEXT(CleanedSalesData[[#This Row],[OrderDate]], "yyyy-mm")</f>
        <v>2024-11</v>
      </c>
    </row>
    <row r="24" spans="1:16" x14ac:dyDescent="0.3">
      <c r="A24" s="3" t="s">
        <v>38</v>
      </c>
      <c r="B24" s="4">
        <v>45638</v>
      </c>
      <c r="C24" s="3" t="s">
        <v>516</v>
      </c>
      <c r="D24" s="3" t="s">
        <v>527</v>
      </c>
      <c r="E24" s="3" t="s">
        <v>546</v>
      </c>
      <c r="F24" s="3" t="s">
        <v>571</v>
      </c>
      <c r="G24" s="3" t="s">
        <v>575</v>
      </c>
      <c r="H24">
        <v>1</v>
      </c>
      <c r="I24" s="5">
        <v>57503.75</v>
      </c>
      <c r="J24">
        <v>0.05</v>
      </c>
      <c r="K24" s="5">
        <v>54628.56</v>
      </c>
      <c r="L24" s="5">
        <v>41026.050000000003</v>
      </c>
      <c r="M24" s="5">
        <v>13602.51</v>
      </c>
      <c r="N24">
        <f>YEAR(CleanedSalesData[[#This Row],[OrderDate]])</f>
        <v>2024</v>
      </c>
      <c r="O24">
        <f>MONTH(CleanedSalesData[[#This Row],[OrderDate]])</f>
        <v>12</v>
      </c>
      <c r="P24" t="str">
        <f>TEXT(CleanedSalesData[[#This Row],[OrderDate]], "yyyy-mm")</f>
        <v>2024-12</v>
      </c>
    </row>
    <row r="25" spans="1:16" x14ac:dyDescent="0.3">
      <c r="A25" s="3" t="s">
        <v>39</v>
      </c>
      <c r="B25" s="4">
        <v>45324</v>
      </c>
      <c r="C25" s="3" t="s">
        <v>520</v>
      </c>
      <c r="D25" s="3" t="s">
        <v>528</v>
      </c>
      <c r="E25" s="3" t="s">
        <v>547</v>
      </c>
      <c r="F25" s="3" t="s">
        <v>572</v>
      </c>
      <c r="G25" s="3" t="s">
        <v>586</v>
      </c>
      <c r="H25">
        <v>1</v>
      </c>
      <c r="I25" s="5">
        <v>467.76</v>
      </c>
      <c r="J25">
        <v>0.15</v>
      </c>
      <c r="K25" s="5">
        <v>397.6</v>
      </c>
      <c r="L25" s="5">
        <v>315.69</v>
      </c>
      <c r="M25" s="5">
        <v>81.91</v>
      </c>
      <c r="N25">
        <f>YEAR(CleanedSalesData[[#This Row],[OrderDate]])</f>
        <v>2024</v>
      </c>
      <c r="O25">
        <f>MONTH(CleanedSalesData[[#This Row],[OrderDate]])</f>
        <v>2</v>
      </c>
      <c r="P25" t="str">
        <f>TEXT(CleanedSalesData[[#This Row],[OrderDate]], "yyyy-mm")</f>
        <v>2024-02</v>
      </c>
    </row>
    <row r="26" spans="1:16" x14ac:dyDescent="0.3">
      <c r="A26" s="3" t="s">
        <v>40</v>
      </c>
      <c r="B26" s="4">
        <v>45882</v>
      </c>
      <c r="C26" s="3" t="s">
        <v>519</v>
      </c>
      <c r="D26" s="3" t="s">
        <v>533</v>
      </c>
      <c r="E26" s="3" t="s">
        <v>555</v>
      </c>
      <c r="F26" s="3" t="s">
        <v>572</v>
      </c>
      <c r="G26" s="3" t="s">
        <v>583</v>
      </c>
      <c r="H26">
        <v>1</v>
      </c>
      <c r="I26" s="5">
        <v>233.94</v>
      </c>
      <c r="J26">
        <v>0</v>
      </c>
      <c r="K26" s="5">
        <v>233.94</v>
      </c>
      <c r="L26" s="5">
        <v>209.38</v>
      </c>
      <c r="M26" s="5">
        <v>24.56</v>
      </c>
      <c r="N26">
        <f>YEAR(CleanedSalesData[[#This Row],[OrderDate]])</f>
        <v>2025</v>
      </c>
      <c r="O26">
        <f>MONTH(CleanedSalesData[[#This Row],[OrderDate]])</f>
        <v>8</v>
      </c>
      <c r="P26" t="str">
        <f>TEXT(CleanedSalesData[[#This Row],[OrderDate]], "yyyy-mm")</f>
        <v>2025-08</v>
      </c>
    </row>
    <row r="27" spans="1:16" x14ac:dyDescent="0.3">
      <c r="A27" s="3" t="s">
        <v>41</v>
      </c>
      <c r="B27" s="4">
        <v>45654</v>
      </c>
      <c r="C27" s="3" t="s">
        <v>519</v>
      </c>
      <c r="D27" s="3" t="s">
        <v>534</v>
      </c>
      <c r="E27" s="3" t="s">
        <v>556</v>
      </c>
      <c r="F27" s="3" t="s">
        <v>573</v>
      </c>
      <c r="G27" s="3" t="s">
        <v>582</v>
      </c>
      <c r="H27">
        <v>4</v>
      </c>
      <c r="I27" s="5">
        <v>17487.38</v>
      </c>
      <c r="J27">
        <v>0</v>
      </c>
      <c r="K27" s="5">
        <v>69949.52</v>
      </c>
      <c r="L27" s="5">
        <v>50153.81</v>
      </c>
      <c r="M27" s="5">
        <v>19795.71</v>
      </c>
      <c r="N27">
        <f>YEAR(CleanedSalesData[[#This Row],[OrderDate]])</f>
        <v>2024</v>
      </c>
      <c r="O27">
        <f>MONTH(CleanedSalesData[[#This Row],[OrderDate]])</f>
        <v>12</v>
      </c>
      <c r="P27" t="str">
        <f>TEXT(CleanedSalesData[[#This Row],[OrderDate]], "yyyy-mm")</f>
        <v>2024-12</v>
      </c>
    </row>
    <row r="28" spans="1:16" x14ac:dyDescent="0.3">
      <c r="A28" s="3" t="s">
        <v>42</v>
      </c>
      <c r="B28" s="4">
        <v>45392</v>
      </c>
      <c r="C28" s="3" t="s">
        <v>516</v>
      </c>
      <c r="D28" s="3" t="s">
        <v>522</v>
      </c>
      <c r="E28" s="3" t="s">
        <v>545</v>
      </c>
      <c r="F28" s="3" t="s">
        <v>571</v>
      </c>
      <c r="G28" s="3" t="s">
        <v>574</v>
      </c>
      <c r="H28">
        <v>4</v>
      </c>
      <c r="I28" s="5">
        <v>17752.439999999999</v>
      </c>
      <c r="J28">
        <v>0</v>
      </c>
      <c r="K28" s="5">
        <v>71009.759999999995</v>
      </c>
      <c r="L28" s="5">
        <v>48428.66</v>
      </c>
      <c r="M28" s="5">
        <v>22581.1</v>
      </c>
      <c r="N28">
        <f>YEAR(CleanedSalesData[[#This Row],[OrderDate]])</f>
        <v>2024</v>
      </c>
      <c r="O28">
        <f>MONTH(CleanedSalesData[[#This Row],[OrderDate]])</f>
        <v>4</v>
      </c>
      <c r="P28" t="str">
        <f>TEXT(CleanedSalesData[[#This Row],[OrderDate]], "yyyy-mm")</f>
        <v>2024-04</v>
      </c>
    </row>
    <row r="29" spans="1:16" x14ac:dyDescent="0.3">
      <c r="A29" s="3" t="s">
        <v>43</v>
      </c>
      <c r="B29" s="4">
        <v>45435</v>
      </c>
      <c r="C29" s="3" t="s">
        <v>519</v>
      </c>
      <c r="D29" s="3" t="s">
        <v>533</v>
      </c>
      <c r="E29" s="3" t="s">
        <v>555</v>
      </c>
      <c r="F29" s="3" t="s">
        <v>572</v>
      </c>
      <c r="G29" s="3" t="s">
        <v>583</v>
      </c>
      <c r="H29">
        <v>1</v>
      </c>
      <c r="I29" s="5">
        <v>1755.25</v>
      </c>
      <c r="J29">
        <v>0.15</v>
      </c>
      <c r="K29" s="5">
        <v>1491.96</v>
      </c>
      <c r="L29" s="5">
        <v>1004.09</v>
      </c>
      <c r="M29" s="5">
        <v>487.87</v>
      </c>
      <c r="N29">
        <f>YEAR(CleanedSalesData[[#This Row],[OrderDate]])</f>
        <v>2024</v>
      </c>
      <c r="O29">
        <f>MONTH(CleanedSalesData[[#This Row],[OrderDate]])</f>
        <v>5</v>
      </c>
      <c r="P29" t="str">
        <f>TEXT(CleanedSalesData[[#This Row],[OrderDate]], "yyyy-mm")</f>
        <v>2024-05</v>
      </c>
    </row>
    <row r="30" spans="1:16" x14ac:dyDescent="0.3">
      <c r="A30" s="3" t="s">
        <v>44</v>
      </c>
      <c r="B30" s="4">
        <v>45392</v>
      </c>
      <c r="C30" s="3" t="s">
        <v>516</v>
      </c>
      <c r="D30" s="3" t="s">
        <v>525</v>
      </c>
      <c r="E30" s="3" t="s">
        <v>557</v>
      </c>
      <c r="F30" s="3" t="s">
        <v>571</v>
      </c>
      <c r="G30" s="3" t="s">
        <v>574</v>
      </c>
      <c r="H30">
        <v>1</v>
      </c>
      <c r="I30" s="5">
        <v>34293.879999999997</v>
      </c>
      <c r="J30">
        <v>0</v>
      </c>
      <c r="K30" s="5">
        <v>34293.879999999997</v>
      </c>
      <c r="L30" s="5">
        <v>30555.85</v>
      </c>
      <c r="M30" s="5">
        <v>3738.03</v>
      </c>
      <c r="N30">
        <f>YEAR(CleanedSalesData[[#This Row],[OrderDate]])</f>
        <v>2024</v>
      </c>
      <c r="O30">
        <f>MONTH(CleanedSalesData[[#This Row],[OrderDate]])</f>
        <v>4</v>
      </c>
      <c r="P30" t="str">
        <f>TEXT(CleanedSalesData[[#This Row],[OrderDate]], "yyyy-mm")</f>
        <v>2024-04</v>
      </c>
    </row>
    <row r="31" spans="1:16" x14ac:dyDescent="0.3">
      <c r="A31" s="3" t="s">
        <v>45</v>
      </c>
      <c r="B31" s="4">
        <v>45702</v>
      </c>
      <c r="C31" s="3" t="s">
        <v>516</v>
      </c>
      <c r="D31" s="3" t="s">
        <v>527</v>
      </c>
      <c r="E31" s="3" t="s">
        <v>558</v>
      </c>
      <c r="F31" s="3" t="s">
        <v>571</v>
      </c>
      <c r="G31" s="3" t="s">
        <v>576</v>
      </c>
      <c r="H31">
        <v>1</v>
      </c>
      <c r="I31" s="5">
        <v>23420.639999999999</v>
      </c>
      <c r="J31">
        <v>0</v>
      </c>
      <c r="K31" s="5">
        <v>23420.639999999999</v>
      </c>
      <c r="L31" s="5">
        <v>19954.39</v>
      </c>
      <c r="M31" s="5">
        <v>3466.25</v>
      </c>
      <c r="N31">
        <f>YEAR(CleanedSalesData[[#This Row],[OrderDate]])</f>
        <v>2025</v>
      </c>
      <c r="O31">
        <f>MONTH(CleanedSalesData[[#This Row],[OrderDate]])</f>
        <v>2</v>
      </c>
      <c r="P31" t="str">
        <f>TEXT(CleanedSalesData[[#This Row],[OrderDate]], "yyyy-mm")</f>
        <v>2025-02</v>
      </c>
    </row>
    <row r="32" spans="1:16" x14ac:dyDescent="0.3">
      <c r="A32" s="3" t="s">
        <v>46</v>
      </c>
      <c r="B32" s="4">
        <v>45757</v>
      </c>
      <c r="C32" s="3" t="s">
        <v>520</v>
      </c>
      <c r="D32" s="3" t="s">
        <v>535</v>
      </c>
      <c r="E32" s="3" t="s">
        <v>559</v>
      </c>
      <c r="F32" s="3" t="s">
        <v>571</v>
      </c>
      <c r="G32" s="3" t="s">
        <v>574</v>
      </c>
      <c r="H32">
        <v>1</v>
      </c>
      <c r="I32" s="5">
        <v>25846.5</v>
      </c>
      <c r="J32">
        <v>0</v>
      </c>
      <c r="K32" s="5">
        <v>25846.5</v>
      </c>
      <c r="L32" s="5">
        <v>22460.61</v>
      </c>
      <c r="M32" s="5">
        <v>3385.89</v>
      </c>
      <c r="N32">
        <f>YEAR(CleanedSalesData[[#This Row],[OrderDate]])</f>
        <v>2025</v>
      </c>
      <c r="O32">
        <f>MONTH(CleanedSalesData[[#This Row],[OrderDate]])</f>
        <v>4</v>
      </c>
      <c r="P32" t="str">
        <f>TEXT(CleanedSalesData[[#This Row],[OrderDate]], "yyyy-mm")</f>
        <v>2025-04</v>
      </c>
    </row>
    <row r="33" spans="1:16" x14ac:dyDescent="0.3">
      <c r="A33" s="3" t="s">
        <v>47</v>
      </c>
      <c r="B33" s="4">
        <v>45885</v>
      </c>
      <c r="C33" s="3" t="s">
        <v>517</v>
      </c>
      <c r="D33" s="3" t="s">
        <v>536</v>
      </c>
      <c r="E33" s="3" t="s">
        <v>560</v>
      </c>
      <c r="F33" s="3" t="s">
        <v>571</v>
      </c>
      <c r="G33" s="3" t="s">
        <v>575</v>
      </c>
      <c r="H33">
        <v>2</v>
      </c>
      <c r="I33" s="5">
        <v>47981.67</v>
      </c>
      <c r="J33">
        <v>0</v>
      </c>
      <c r="K33" s="5">
        <v>95963.34</v>
      </c>
      <c r="L33" s="5">
        <v>80897.100000000006</v>
      </c>
      <c r="M33" s="5">
        <v>15066.24</v>
      </c>
      <c r="N33">
        <f>YEAR(CleanedSalesData[[#This Row],[OrderDate]])</f>
        <v>2025</v>
      </c>
      <c r="O33">
        <f>MONTH(CleanedSalesData[[#This Row],[OrderDate]])</f>
        <v>8</v>
      </c>
      <c r="P33" t="str">
        <f>TEXT(CleanedSalesData[[#This Row],[OrderDate]], "yyyy-mm")</f>
        <v>2025-08</v>
      </c>
    </row>
    <row r="34" spans="1:16" x14ac:dyDescent="0.3">
      <c r="A34" s="3" t="s">
        <v>48</v>
      </c>
      <c r="B34" s="4">
        <v>45835</v>
      </c>
      <c r="C34" s="3" t="s">
        <v>518</v>
      </c>
      <c r="D34" s="3" t="s">
        <v>537</v>
      </c>
      <c r="E34" s="3" t="s">
        <v>561</v>
      </c>
      <c r="F34" s="3" t="s">
        <v>571</v>
      </c>
      <c r="G34" s="3" t="s">
        <v>575</v>
      </c>
      <c r="H34">
        <v>1</v>
      </c>
      <c r="I34" s="5">
        <v>48817.7</v>
      </c>
      <c r="J34">
        <v>0</v>
      </c>
      <c r="K34" s="5">
        <v>48817.7</v>
      </c>
      <c r="L34" s="5">
        <v>38419.53</v>
      </c>
      <c r="M34" s="5">
        <v>10398.17</v>
      </c>
      <c r="N34">
        <f>YEAR(CleanedSalesData[[#This Row],[OrderDate]])</f>
        <v>2025</v>
      </c>
      <c r="O34">
        <f>MONTH(CleanedSalesData[[#This Row],[OrderDate]])</f>
        <v>6</v>
      </c>
      <c r="P34" t="str">
        <f>TEXT(CleanedSalesData[[#This Row],[OrderDate]], "yyyy-mm")</f>
        <v>2025-06</v>
      </c>
    </row>
    <row r="35" spans="1:16" x14ac:dyDescent="0.3">
      <c r="A35" s="3" t="s">
        <v>49</v>
      </c>
      <c r="B35" s="4">
        <v>45532</v>
      </c>
      <c r="C35" s="3" t="s">
        <v>519</v>
      </c>
      <c r="D35" s="3" t="s">
        <v>526</v>
      </c>
      <c r="E35" s="3" t="s">
        <v>562</v>
      </c>
      <c r="F35" s="3" t="s">
        <v>573</v>
      </c>
      <c r="G35" s="3" t="s">
        <v>584</v>
      </c>
      <c r="H35">
        <v>1</v>
      </c>
      <c r="I35" s="5">
        <v>2914.06</v>
      </c>
      <c r="J35">
        <v>0.15</v>
      </c>
      <c r="K35" s="5">
        <v>2476.9499999999998</v>
      </c>
      <c r="L35" s="5">
        <v>1756.16</v>
      </c>
      <c r="M35" s="5">
        <v>720.79</v>
      </c>
      <c r="N35">
        <f>YEAR(CleanedSalesData[[#This Row],[OrderDate]])</f>
        <v>2024</v>
      </c>
      <c r="O35">
        <f>MONTH(CleanedSalesData[[#This Row],[OrderDate]])</f>
        <v>8</v>
      </c>
      <c r="P35" t="str">
        <f>TEXT(CleanedSalesData[[#This Row],[OrderDate]], "yyyy-mm")</f>
        <v>2024-08</v>
      </c>
    </row>
    <row r="36" spans="1:16" x14ac:dyDescent="0.3">
      <c r="A36" s="3" t="s">
        <v>50</v>
      </c>
      <c r="B36" s="4">
        <v>45889</v>
      </c>
      <c r="C36" s="3" t="s">
        <v>517</v>
      </c>
      <c r="D36" s="3" t="s">
        <v>531</v>
      </c>
      <c r="E36" s="3" t="s">
        <v>563</v>
      </c>
      <c r="F36" s="3" t="s">
        <v>571</v>
      </c>
      <c r="G36" s="3" t="s">
        <v>578</v>
      </c>
      <c r="H36">
        <v>1</v>
      </c>
      <c r="I36" s="5">
        <v>21378.82</v>
      </c>
      <c r="J36">
        <v>0</v>
      </c>
      <c r="K36" s="5">
        <v>21378.82</v>
      </c>
      <c r="L36" s="5">
        <v>13981.75</v>
      </c>
      <c r="M36" s="5">
        <v>7397.07</v>
      </c>
      <c r="N36">
        <f>YEAR(CleanedSalesData[[#This Row],[OrderDate]])</f>
        <v>2025</v>
      </c>
      <c r="O36">
        <f>MONTH(CleanedSalesData[[#This Row],[OrderDate]])</f>
        <v>8</v>
      </c>
      <c r="P36" t="str">
        <f>TEXT(CleanedSalesData[[#This Row],[OrderDate]], "yyyy-mm")</f>
        <v>2025-08</v>
      </c>
    </row>
    <row r="37" spans="1:16" x14ac:dyDescent="0.3">
      <c r="A37" s="3" t="s">
        <v>51</v>
      </c>
      <c r="B37" s="4">
        <v>45599</v>
      </c>
      <c r="C37" s="3" t="s">
        <v>519</v>
      </c>
      <c r="D37" s="3" t="s">
        <v>532</v>
      </c>
      <c r="E37" s="3" t="s">
        <v>564</v>
      </c>
      <c r="F37" s="3" t="s">
        <v>571</v>
      </c>
      <c r="G37" s="3" t="s">
        <v>576</v>
      </c>
      <c r="H37">
        <v>2</v>
      </c>
      <c r="I37" s="5">
        <v>50829.26</v>
      </c>
      <c r="J37">
        <v>0</v>
      </c>
      <c r="K37" s="5">
        <v>101658.52</v>
      </c>
      <c r="L37" s="5">
        <v>90476.08</v>
      </c>
      <c r="M37" s="5">
        <v>11182.44</v>
      </c>
      <c r="N37">
        <f>YEAR(CleanedSalesData[[#This Row],[OrderDate]])</f>
        <v>2024</v>
      </c>
      <c r="O37">
        <f>MONTH(CleanedSalesData[[#This Row],[OrderDate]])</f>
        <v>11</v>
      </c>
      <c r="P37" t="str">
        <f>TEXT(CleanedSalesData[[#This Row],[OrderDate]], "yyyy-mm")</f>
        <v>2024-11</v>
      </c>
    </row>
    <row r="38" spans="1:16" x14ac:dyDescent="0.3">
      <c r="A38" s="3" t="s">
        <v>52</v>
      </c>
      <c r="B38" s="4">
        <v>45394</v>
      </c>
      <c r="C38" s="3" t="s">
        <v>516</v>
      </c>
      <c r="D38" s="3" t="s">
        <v>527</v>
      </c>
      <c r="E38" s="3" t="s">
        <v>558</v>
      </c>
      <c r="F38" s="3" t="s">
        <v>571</v>
      </c>
      <c r="G38" s="3" t="s">
        <v>578</v>
      </c>
      <c r="H38">
        <v>1</v>
      </c>
      <c r="I38" s="5">
        <v>70826.539999999994</v>
      </c>
      <c r="J38">
        <v>0</v>
      </c>
      <c r="K38" s="5">
        <v>70826.539999999994</v>
      </c>
      <c r="L38" s="5">
        <v>49932.71</v>
      </c>
      <c r="M38" s="5">
        <v>20893.830000000002</v>
      </c>
      <c r="N38">
        <f>YEAR(CleanedSalesData[[#This Row],[OrderDate]])</f>
        <v>2024</v>
      </c>
      <c r="O38">
        <f>MONTH(CleanedSalesData[[#This Row],[OrderDate]])</f>
        <v>4</v>
      </c>
      <c r="P38" t="str">
        <f>TEXT(CleanedSalesData[[#This Row],[OrderDate]], "yyyy-mm")</f>
        <v>2024-04</v>
      </c>
    </row>
    <row r="39" spans="1:16" x14ac:dyDescent="0.3">
      <c r="A39" s="3" t="s">
        <v>53</v>
      </c>
      <c r="B39" s="4">
        <v>45670</v>
      </c>
      <c r="C39" s="3" t="s">
        <v>520</v>
      </c>
      <c r="D39" s="3" t="s">
        <v>528</v>
      </c>
      <c r="E39" s="3" t="s">
        <v>552</v>
      </c>
      <c r="F39" s="3" t="s">
        <v>573</v>
      </c>
      <c r="G39" s="3" t="s">
        <v>580</v>
      </c>
      <c r="H39">
        <v>2</v>
      </c>
      <c r="I39" s="5">
        <v>16068.59</v>
      </c>
      <c r="J39">
        <v>0</v>
      </c>
      <c r="K39" s="5">
        <v>32137.18</v>
      </c>
      <c r="L39" s="5">
        <v>23492.28</v>
      </c>
      <c r="M39" s="5">
        <v>8644.9</v>
      </c>
      <c r="N39">
        <f>YEAR(CleanedSalesData[[#This Row],[OrderDate]])</f>
        <v>2025</v>
      </c>
      <c r="O39">
        <f>MONTH(CleanedSalesData[[#This Row],[OrderDate]])</f>
        <v>1</v>
      </c>
      <c r="P39" t="str">
        <f>TEXT(CleanedSalesData[[#This Row],[OrderDate]], "yyyy-mm")</f>
        <v>2025-01</v>
      </c>
    </row>
    <row r="40" spans="1:16" x14ac:dyDescent="0.3">
      <c r="A40" s="3" t="s">
        <v>54</v>
      </c>
      <c r="B40" s="4">
        <v>45833</v>
      </c>
      <c r="C40" s="3" t="s">
        <v>516</v>
      </c>
      <c r="D40" s="3" t="s">
        <v>521</v>
      </c>
      <c r="E40" s="3" t="s">
        <v>538</v>
      </c>
      <c r="F40" s="3" t="s">
        <v>571</v>
      </c>
      <c r="G40" s="3" t="s">
        <v>578</v>
      </c>
      <c r="H40">
        <v>2</v>
      </c>
      <c r="I40" s="5">
        <v>11888.01</v>
      </c>
      <c r="J40">
        <v>0.15</v>
      </c>
      <c r="K40" s="5">
        <v>20209.62</v>
      </c>
      <c r="L40" s="5">
        <v>18754.53</v>
      </c>
      <c r="M40" s="5">
        <v>1455.09</v>
      </c>
      <c r="N40">
        <f>YEAR(CleanedSalesData[[#This Row],[OrderDate]])</f>
        <v>2025</v>
      </c>
      <c r="O40">
        <f>MONTH(CleanedSalesData[[#This Row],[OrderDate]])</f>
        <v>6</v>
      </c>
      <c r="P40" t="str">
        <f>TEXT(CleanedSalesData[[#This Row],[OrderDate]], "yyyy-mm")</f>
        <v>2025-06</v>
      </c>
    </row>
    <row r="41" spans="1:16" x14ac:dyDescent="0.3">
      <c r="A41" s="3" t="s">
        <v>55</v>
      </c>
      <c r="B41" s="4">
        <v>45451</v>
      </c>
      <c r="C41" s="3" t="s">
        <v>520</v>
      </c>
      <c r="D41" s="3" t="s">
        <v>535</v>
      </c>
      <c r="E41" s="3" t="s">
        <v>565</v>
      </c>
      <c r="F41" s="3" t="s">
        <v>573</v>
      </c>
      <c r="G41" s="3" t="s">
        <v>580</v>
      </c>
      <c r="H41">
        <v>1</v>
      </c>
      <c r="I41" s="5">
        <v>6682.74</v>
      </c>
      <c r="J41">
        <v>0</v>
      </c>
      <c r="K41" s="5">
        <v>6682.74</v>
      </c>
      <c r="L41" s="5">
        <v>6114.71</v>
      </c>
      <c r="M41" s="5">
        <v>568.03</v>
      </c>
      <c r="N41">
        <f>YEAR(CleanedSalesData[[#This Row],[OrderDate]])</f>
        <v>2024</v>
      </c>
      <c r="O41">
        <f>MONTH(CleanedSalesData[[#This Row],[OrderDate]])</f>
        <v>6</v>
      </c>
      <c r="P41" t="str">
        <f>TEXT(CleanedSalesData[[#This Row],[OrderDate]], "yyyy-mm")</f>
        <v>2024-06</v>
      </c>
    </row>
    <row r="42" spans="1:16" x14ac:dyDescent="0.3">
      <c r="A42" s="3" t="s">
        <v>56</v>
      </c>
      <c r="B42" s="4">
        <v>45562</v>
      </c>
      <c r="C42" s="3" t="s">
        <v>517</v>
      </c>
      <c r="D42" s="3" t="s">
        <v>530</v>
      </c>
      <c r="E42" s="3" t="s">
        <v>549</v>
      </c>
      <c r="F42" s="3" t="s">
        <v>571</v>
      </c>
      <c r="G42" s="3" t="s">
        <v>575</v>
      </c>
      <c r="H42">
        <v>3</v>
      </c>
      <c r="I42" s="5">
        <v>51839.9</v>
      </c>
      <c r="J42">
        <v>0</v>
      </c>
      <c r="K42" s="5">
        <v>155519.70000000001</v>
      </c>
      <c r="L42" s="5">
        <v>118661.53</v>
      </c>
      <c r="M42" s="5">
        <v>36858.17</v>
      </c>
      <c r="N42">
        <f>YEAR(CleanedSalesData[[#This Row],[OrderDate]])</f>
        <v>2024</v>
      </c>
      <c r="O42">
        <f>MONTH(CleanedSalesData[[#This Row],[OrderDate]])</f>
        <v>9</v>
      </c>
      <c r="P42" t="str">
        <f>TEXT(CleanedSalesData[[#This Row],[OrderDate]], "yyyy-mm")</f>
        <v>2024-09</v>
      </c>
    </row>
    <row r="43" spans="1:16" x14ac:dyDescent="0.3">
      <c r="A43" s="3" t="s">
        <v>57</v>
      </c>
      <c r="B43" s="4">
        <v>45337</v>
      </c>
      <c r="C43" s="3" t="s">
        <v>516</v>
      </c>
      <c r="D43" s="3" t="s">
        <v>521</v>
      </c>
      <c r="E43" s="3" t="s">
        <v>538</v>
      </c>
      <c r="F43" s="3" t="s">
        <v>573</v>
      </c>
      <c r="G43" s="3" t="s">
        <v>580</v>
      </c>
      <c r="H43">
        <v>1</v>
      </c>
      <c r="I43" s="5">
        <v>5716.39</v>
      </c>
      <c r="J43">
        <v>0</v>
      </c>
      <c r="K43" s="5">
        <v>5716.39</v>
      </c>
      <c r="L43" s="5">
        <v>5321.96</v>
      </c>
      <c r="M43" s="5">
        <v>394.43</v>
      </c>
      <c r="N43">
        <f>YEAR(CleanedSalesData[[#This Row],[OrderDate]])</f>
        <v>2024</v>
      </c>
      <c r="O43">
        <f>MONTH(CleanedSalesData[[#This Row],[OrderDate]])</f>
        <v>2</v>
      </c>
      <c r="P43" t="str">
        <f>TEXT(CleanedSalesData[[#This Row],[OrderDate]], "yyyy-mm")</f>
        <v>2024-02</v>
      </c>
    </row>
    <row r="44" spans="1:16" x14ac:dyDescent="0.3">
      <c r="A44" s="3" t="s">
        <v>58</v>
      </c>
      <c r="B44" s="4">
        <v>45729</v>
      </c>
      <c r="C44" s="3" t="s">
        <v>517</v>
      </c>
      <c r="D44" s="3" t="s">
        <v>536</v>
      </c>
      <c r="E44" s="3" t="s">
        <v>560</v>
      </c>
      <c r="F44" s="3" t="s">
        <v>571</v>
      </c>
      <c r="G44" s="3" t="s">
        <v>574</v>
      </c>
      <c r="H44">
        <v>1</v>
      </c>
      <c r="I44" s="5">
        <v>45010.45</v>
      </c>
      <c r="J44">
        <v>0</v>
      </c>
      <c r="K44" s="5">
        <v>45010.45</v>
      </c>
      <c r="L44" s="5">
        <v>38348.9</v>
      </c>
      <c r="M44" s="5">
        <v>6661.55</v>
      </c>
      <c r="N44">
        <f>YEAR(CleanedSalesData[[#This Row],[OrderDate]])</f>
        <v>2025</v>
      </c>
      <c r="O44">
        <f>MONTH(CleanedSalesData[[#This Row],[OrderDate]])</f>
        <v>3</v>
      </c>
      <c r="P44" t="str">
        <f>TEXT(CleanedSalesData[[#This Row],[OrderDate]], "yyyy-mm")</f>
        <v>2025-03</v>
      </c>
    </row>
    <row r="45" spans="1:16" x14ac:dyDescent="0.3">
      <c r="A45" s="3" t="s">
        <v>59</v>
      </c>
      <c r="B45" s="4">
        <v>45888</v>
      </c>
      <c r="C45" s="3" t="s">
        <v>517</v>
      </c>
      <c r="D45" s="3" t="s">
        <v>523</v>
      </c>
      <c r="E45" s="3" t="s">
        <v>540</v>
      </c>
      <c r="F45" s="3" t="s">
        <v>571</v>
      </c>
      <c r="G45" s="3" t="s">
        <v>575</v>
      </c>
      <c r="H45">
        <v>2</v>
      </c>
      <c r="I45" s="5">
        <v>26735.89</v>
      </c>
      <c r="J45">
        <v>0</v>
      </c>
      <c r="K45" s="5">
        <v>53471.78</v>
      </c>
      <c r="L45" s="5">
        <v>40585.08</v>
      </c>
      <c r="M45" s="5">
        <v>12886.7</v>
      </c>
      <c r="N45">
        <f>YEAR(CleanedSalesData[[#This Row],[OrderDate]])</f>
        <v>2025</v>
      </c>
      <c r="O45">
        <f>MONTH(CleanedSalesData[[#This Row],[OrderDate]])</f>
        <v>8</v>
      </c>
      <c r="P45" t="str">
        <f>TEXT(CleanedSalesData[[#This Row],[OrderDate]], "yyyy-mm")</f>
        <v>2025-08</v>
      </c>
    </row>
    <row r="46" spans="1:16" x14ac:dyDescent="0.3">
      <c r="A46" s="3" t="s">
        <v>60</v>
      </c>
      <c r="B46" s="4">
        <v>45332</v>
      </c>
      <c r="C46" s="3" t="s">
        <v>520</v>
      </c>
      <c r="D46" s="3" t="s">
        <v>528</v>
      </c>
      <c r="E46" s="3" t="s">
        <v>547</v>
      </c>
      <c r="F46" s="3" t="s">
        <v>573</v>
      </c>
      <c r="G46" s="3" t="s">
        <v>582</v>
      </c>
      <c r="H46">
        <v>3</v>
      </c>
      <c r="I46" s="5">
        <v>10134.61</v>
      </c>
      <c r="J46">
        <v>0</v>
      </c>
      <c r="K46" s="5">
        <v>30403.83</v>
      </c>
      <c r="L46" s="5">
        <v>24566.29</v>
      </c>
      <c r="M46" s="5">
        <v>5837.54</v>
      </c>
      <c r="N46">
        <f>YEAR(CleanedSalesData[[#This Row],[OrderDate]])</f>
        <v>2024</v>
      </c>
      <c r="O46">
        <f>MONTH(CleanedSalesData[[#This Row],[OrderDate]])</f>
        <v>2</v>
      </c>
      <c r="P46" t="str">
        <f>TEXT(CleanedSalesData[[#This Row],[OrderDate]], "yyyy-mm")</f>
        <v>2024-02</v>
      </c>
    </row>
    <row r="47" spans="1:16" x14ac:dyDescent="0.3">
      <c r="A47" s="3" t="s">
        <v>61</v>
      </c>
      <c r="B47" s="4">
        <v>45708</v>
      </c>
      <c r="C47" s="3" t="s">
        <v>517</v>
      </c>
      <c r="D47" s="3" t="s">
        <v>523</v>
      </c>
      <c r="E47" s="3" t="s">
        <v>544</v>
      </c>
      <c r="F47" s="3" t="s">
        <v>571</v>
      </c>
      <c r="G47" s="3" t="s">
        <v>574</v>
      </c>
      <c r="H47">
        <v>1</v>
      </c>
      <c r="I47" s="5">
        <v>70869.05</v>
      </c>
      <c r="J47">
        <v>0.15</v>
      </c>
      <c r="K47" s="5">
        <v>60238.69</v>
      </c>
      <c r="L47" s="5">
        <v>44335.68</v>
      </c>
      <c r="M47" s="5">
        <v>15903.01</v>
      </c>
      <c r="N47">
        <f>YEAR(CleanedSalesData[[#This Row],[OrderDate]])</f>
        <v>2025</v>
      </c>
      <c r="O47">
        <f>MONTH(CleanedSalesData[[#This Row],[OrderDate]])</f>
        <v>2</v>
      </c>
      <c r="P47" t="str">
        <f>TEXT(CleanedSalesData[[#This Row],[OrderDate]], "yyyy-mm")</f>
        <v>2025-02</v>
      </c>
    </row>
    <row r="48" spans="1:16" x14ac:dyDescent="0.3">
      <c r="A48" s="3" t="s">
        <v>62</v>
      </c>
      <c r="B48" s="4">
        <v>45632</v>
      </c>
      <c r="C48" s="3" t="s">
        <v>519</v>
      </c>
      <c r="D48" s="3" t="s">
        <v>533</v>
      </c>
      <c r="E48" s="3" t="s">
        <v>555</v>
      </c>
      <c r="F48" s="3" t="s">
        <v>571</v>
      </c>
      <c r="G48" s="3" t="s">
        <v>575</v>
      </c>
      <c r="H48">
        <v>2</v>
      </c>
      <c r="I48" s="5">
        <v>32455.71</v>
      </c>
      <c r="J48">
        <v>0.1</v>
      </c>
      <c r="K48" s="5">
        <v>58420.28</v>
      </c>
      <c r="L48" s="5">
        <v>45684.66</v>
      </c>
      <c r="M48" s="5">
        <v>12735.62</v>
      </c>
      <c r="N48">
        <f>YEAR(CleanedSalesData[[#This Row],[OrderDate]])</f>
        <v>2024</v>
      </c>
      <c r="O48">
        <f>MONTH(CleanedSalesData[[#This Row],[OrderDate]])</f>
        <v>12</v>
      </c>
      <c r="P48" t="str">
        <f>TEXT(CleanedSalesData[[#This Row],[OrderDate]], "yyyy-mm")</f>
        <v>2024-12</v>
      </c>
    </row>
    <row r="49" spans="1:16" x14ac:dyDescent="0.3">
      <c r="A49" s="3" t="s">
        <v>63</v>
      </c>
      <c r="B49" s="4">
        <v>45519</v>
      </c>
      <c r="C49" s="3" t="s">
        <v>518</v>
      </c>
      <c r="D49" s="3" t="s">
        <v>529</v>
      </c>
      <c r="E49" s="3" t="s">
        <v>553</v>
      </c>
      <c r="F49" s="3" t="s">
        <v>572</v>
      </c>
      <c r="G49" s="3" t="s">
        <v>583</v>
      </c>
      <c r="H49">
        <v>2</v>
      </c>
      <c r="I49" s="5">
        <v>484.7</v>
      </c>
      <c r="J49">
        <v>0</v>
      </c>
      <c r="K49" s="5">
        <v>969.4</v>
      </c>
      <c r="L49" s="5">
        <v>777.46</v>
      </c>
      <c r="M49" s="5">
        <v>191.94</v>
      </c>
      <c r="N49">
        <f>YEAR(CleanedSalesData[[#This Row],[OrderDate]])</f>
        <v>2024</v>
      </c>
      <c r="O49">
        <f>MONTH(CleanedSalesData[[#This Row],[OrderDate]])</f>
        <v>8</v>
      </c>
      <c r="P49" t="str">
        <f>TEXT(CleanedSalesData[[#This Row],[OrderDate]], "yyyy-mm")</f>
        <v>2024-08</v>
      </c>
    </row>
    <row r="50" spans="1:16" x14ac:dyDescent="0.3">
      <c r="A50" s="3" t="s">
        <v>64</v>
      </c>
      <c r="B50" s="4">
        <v>45700</v>
      </c>
      <c r="C50" s="3" t="s">
        <v>520</v>
      </c>
      <c r="D50" s="3" t="s">
        <v>535</v>
      </c>
      <c r="E50" s="3" t="s">
        <v>565</v>
      </c>
      <c r="F50" s="3" t="s">
        <v>572</v>
      </c>
      <c r="G50" s="3" t="s">
        <v>577</v>
      </c>
      <c r="H50">
        <v>1</v>
      </c>
      <c r="I50" s="5">
        <v>1300.8900000000001</v>
      </c>
      <c r="J50">
        <v>0</v>
      </c>
      <c r="K50" s="5">
        <v>1300.8900000000001</v>
      </c>
      <c r="L50" s="5">
        <v>1069.33</v>
      </c>
      <c r="M50" s="5">
        <v>231.56</v>
      </c>
      <c r="N50">
        <f>YEAR(CleanedSalesData[[#This Row],[OrderDate]])</f>
        <v>2025</v>
      </c>
      <c r="O50">
        <f>MONTH(CleanedSalesData[[#This Row],[OrderDate]])</f>
        <v>2</v>
      </c>
      <c r="P50" t="str">
        <f>TEXT(CleanedSalesData[[#This Row],[OrderDate]], "yyyy-mm")</f>
        <v>2025-02</v>
      </c>
    </row>
    <row r="51" spans="1:16" x14ac:dyDescent="0.3">
      <c r="A51" s="3" t="s">
        <v>65</v>
      </c>
      <c r="B51" s="4">
        <v>45841</v>
      </c>
      <c r="C51" s="3" t="s">
        <v>520</v>
      </c>
      <c r="D51" s="3" t="s">
        <v>528</v>
      </c>
      <c r="E51" s="3" t="s">
        <v>547</v>
      </c>
      <c r="F51" s="3" t="s">
        <v>572</v>
      </c>
      <c r="G51" s="3" t="s">
        <v>583</v>
      </c>
      <c r="H51">
        <v>1</v>
      </c>
      <c r="I51" s="5">
        <v>1182.1500000000001</v>
      </c>
      <c r="J51">
        <v>0</v>
      </c>
      <c r="K51" s="5">
        <v>1182.1500000000001</v>
      </c>
      <c r="L51" s="5">
        <v>1085.21</v>
      </c>
      <c r="M51" s="5">
        <v>96.94</v>
      </c>
      <c r="N51">
        <f>YEAR(CleanedSalesData[[#This Row],[OrderDate]])</f>
        <v>2025</v>
      </c>
      <c r="O51">
        <f>MONTH(CleanedSalesData[[#This Row],[OrderDate]])</f>
        <v>7</v>
      </c>
      <c r="P51" t="str">
        <f>TEXT(CleanedSalesData[[#This Row],[OrderDate]], "yyyy-mm")</f>
        <v>2025-07</v>
      </c>
    </row>
    <row r="52" spans="1:16" x14ac:dyDescent="0.3">
      <c r="A52" s="3" t="s">
        <v>66</v>
      </c>
      <c r="B52" s="4">
        <v>45331</v>
      </c>
      <c r="C52" s="3" t="s">
        <v>516</v>
      </c>
      <c r="D52" s="3" t="s">
        <v>522</v>
      </c>
      <c r="E52" s="3" t="s">
        <v>545</v>
      </c>
      <c r="F52" s="3" t="s">
        <v>573</v>
      </c>
      <c r="G52" s="3" t="s">
        <v>580</v>
      </c>
      <c r="H52">
        <v>1</v>
      </c>
      <c r="I52" s="5">
        <v>12037.06</v>
      </c>
      <c r="J52">
        <v>0</v>
      </c>
      <c r="K52" s="5">
        <v>12037.06</v>
      </c>
      <c r="L52" s="5">
        <v>9136.1299999999992</v>
      </c>
      <c r="M52" s="5">
        <v>2900.93</v>
      </c>
      <c r="N52">
        <f>YEAR(CleanedSalesData[[#This Row],[OrderDate]])</f>
        <v>2024</v>
      </c>
      <c r="O52">
        <f>MONTH(CleanedSalesData[[#This Row],[OrderDate]])</f>
        <v>2</v>
      </c>
      <c r="P52" t="str">
        <f>TEXT(CleanedSalesData[[#This Row],[OrderDate]], "yyyy-mm")</f>
        <v>2024-02</v>
      </c>
    </row>
    <row r="53" spans="1:16" x14ac:dyDescent="0.3">
      <c r="A53" s="3" t="s">
        <v>67</v>
      </c>
      <c r="B53" s="4">
        <v>45410</v>
      </c>
      <c r="C53" s="3" t="s">
        <v>519</v>
      </c>
      <c r="D53" s="3" t="s">
        <v>533</v>
      </c>
      <c r="E53" s="3" t="s">
        <v>555</v>
      </c>
      <c r="F53" s="3" t="s">
        <v>571</v>
      </c>
      <c r="G53" s="3" t="s">
        <v>576</v>
      </c>
      <c r="H53">
        <v>1</v>
      </c>
      <c r="I53" s="5">
        <v>3130.23</v>
      </c>
      <c r="J53">
        <v>0</v>
      </c>
      <c r="K53" s="5">
        <v>3130.23</v>
      </c>
      <c r="L53" s="5">
        <v>2494.79</v>
      </c>
      <c r="M53" s="5">
        <v>635.44000000000005</v>
      </c>
      <c r="N53">
        <f>YEAR(CleanedSalesData[[#This Row],[OrderDate]])</f>
        <v>2024</v>
      </c>
      <c r="O53">
        <f>MONTH(CleanedSalesData[[#This Row],[OrderDate]])</f>
        <v>4</v>
      </c>
      <c r="P53" t="str">
        <f>TEXT(CleanedSalesData[[#This Row],[OrderDate]], "yyyy-mm")</f>
        <v>2024-04</v>
      </c>
    </row>
    <row r="54" spans="1:16" x14ac:dyDescent="0.3">
      <c r="A54" s="3" t="s">
        <v>68</v>
      </c>
      <c r="B54" s="4">
        <v>45843</v>
      </c>
      <c r="C54" s="3" t="s">
        <v>518</v>
      </c>
      <c r="D54" s="3" t="s">
        <v>529</v>
      </c>
      <c r="E54" s="3" t="s">
        <v>553</v>
      </c>
      <c r="F54" s="3" t="s">
        <v>571</v>
      </c>
      <c r="G54" s="3" t="s">
        <v>578</v>
      </c>
      <c r="H54">
        <v>3</v>
      </c>
      <c r="I54" s="5">
        <v>50982.97</v>
      </c>
      <c r="J54">
        <v>0</v>
      </c>
      <c r="K54" s="5">
        <v>152948.91</v>
      </c>
      <c r="L54" s="5">
        <v>133830.29999999999</v>
      </c>
      <c r="M54" s="5">
        <v>19118.61</v>
      </c>
      <c r="N54">
        <f>YEAR(CleanedSalesData[[#This Row],[OrderDate]])</f>
        <v>2025</v>
      </c>
      <c r="O54">
        <f>MONTH(CleanedSalesData[[#This Row],[OrderDate]])</f>
        <v>7</v>
      </c>
      <c r="P54" t="str">
        <f>TEXT(CleanedSalesData[[#This Row],[OrderDate]], "yyyy-mm")</f>
        <v>2025-07</v>
      </c>
    </row>
    <row r="55" spans="1:16" x14ac:dyDescent="0.3">
      <c r="A55" s="3" t="s">
        <v>69</v>
      </c>
      <c r="B55" s="4">
        <v>45419</v>
      </c>
      <c r="C55" s="3" t="s">
        <v>520</v>
      </c>
      <c r="D55" s="3" t="s">
        <v>535</v>
      </c>
      <c r="E55" s="3" t="s">
        <v>559</v>
      </c>
      <c r="F55" s="3" t="s">
        <v>572</v>
      </c>
      <c r="G55" s="3" t="s">
        <v>586</v>
      </c>
      <c r="H55">
        <v>1</v>
      </c>
      <c r="I55" s="5">
        <v>1409.56</v>
      </c>
      <c r="J55">
        <v>0</v>
      </c>
      <c r="K55" s="5">
        <v>1409.56</v>
      </c>
      <c r="L55" s="5">
        <v>1019.11</v>
      </c>
      <c r="M55" s="5">
        <v>390.45</v>
      </c>
      <c r="N55">
        <f>YEAR(CleanedSalesData[[#This Row],[OrderDate]])</f>
        <v>2024</v>
      </c>
      <c r="O55">
        <f>MONTH(CleanedSalesData[[#This Row],[OrderDate]])</f>
        <v>5</v>
      </c>
      <c r="P55" t="str">
        <f>TEXT(CleanedSalesData[[#This Row],[OrderDate]], "yyyy-mm")</f>
        <v>2024-05</v>
      </c>
    </row>
    <row r="56" spans="1:16" x14ac:dyDescent="0.3">
      <c r="A56" s="3" t="s">
        <v>70</v>
      </c>
      <c r="B56" s="4">
        <v>45488</v>
      </c>
      <c r="C56" s="3" t="s">
        <v>519</v>
      </c>
      <c r="D56" s="3" t="s">
        <v>534</v>
      </c>
      <c r="E56" s="3" t="s">
        <v>566</v>
      </c>
      <c r="F56" s="3" t="s">
        <v>573</v>
      </c>
      <c r="G56" s="3" t="s">
        <v>584</v>
      </c>
      <c r="H56">
        <v>1</v>
      </c>
      <c r="I56" s="5">
        <v>8921.85</v>
      </c>
      <c r="J56">
        <v>0</v>
      </c>
      <c r="K56" s="5">
        <v>8921.85</v>
      </c>
      <c r="L56" s="5">
        <v>8270.5499999999993</v>
      </c>
      <c r="M56" s="5">
        <v>651.29999999999995</v>
      </c>
      <c r="N56">
        <f>YEAR(CleanedSalesData[[#This Row],[OrderDate]])</f>
        <v>2024</v>
      </c>
      <c r="O56">
        <f>MONTH(CleanedSalesData[[#This Row],[OrderDate]])</f>
        <v>7</v>
      </c>
      <c r="P56" t="str">
        <f>TEXT(CleanedSalesData[[#This Row],[OrderDate]], "yyyy-mm")</f>
        <v>2024-07</v>
      </c>
    </row>
    <row r="57" spans="1:16" x14ac:dyDescent="0.3">
      <c r="A57" s="3" t="s">
        <v>71</v>
      </c>
      <c r="B57" s="4">
        <v>45292</v>
      </c>
      <c r="C57" s="3" t="s">
        <v>520</v>
      </c>
      <c r="D57" s="3" t="s">
        <v>535</v>
      </c>
      <c r="E57" s="3" t="s">
        <v>565</v>
      </c>
      <c r="F57" s="3" t="s">
        <v>572</v>
      </c>
      <c r="G57" s="3" t="s">
        <v>587</v>
      </c>
      <c r="H57">
        <v>1</v>
      </c>
      <c r="I57" s="5">
        <v>1232.99</v>
      </c>
      <c r="J57">
        <v>0</v>
      </c>
      <c r="K57" s="5">
        <v>1232.99</v>
      </c>
      <c r="L57" s="5">
        <v>1112.1600000000001</v>
      </c>
      <c r="M57" s="5">
        <v>120.83</v>
      </c>
      <c r="N57">
        <f>YEAR(CleanedSalesData[[#This Row],[OrderDate]])</f>
        <v>2024</v>
      </c>
      <c r="O57">
        <f>MONTH(CleanedSalesData[[#This Row],[OrderDate]])</f>
        <v>1</v>
      </c>
      <c r="P57" t="str">
        <f>TEXT(CleanedSalesData[[#This Row],[OrderDate]], "yyyy-mm")</f>
        <v>2024-01</v>
      </c>
    </row>
    <row r="58" spans="1:16" x14ac:dyDescent="0.3">
      <c r="A58" s="3" t="s">
        <v>72</v>
      </c>
      <c r="B58" s="4">
        <v>45744</v>
      </c>
      <c r="C58" s="3" t="s">
        <v>519</v>
      </c>
      <c r="D58" s="3" t="s">
        <v>533</v>
      </c>
      <c r="E58" s="3" t="s">
        <v>555</v>
      </c>
      <c r="F58" s="3" t="s">
        <v>573</v>
      </c>
      <c r="G58" s="3" t="s">
        <v>585</v>
      </c>
      <c r="H58">
        <v>3</v>
      </c>
      <c r="I58" s="5">
        <v>17153.57</v>
      </c>
      <c r="J58">
        <v>0</v>
      </c>
      <c r="K58" s="5">
        <v>51460.71</v>
      </c>
      <c r="L58" s="5">
        <v>36434.18</v>
      </c>
      <c r="M58" s="5">
        <v>15026.53</v>
      </c>
      <c r="N58">
        <f>YEAR(CleanedSalesData[[#This Row],[OrderDate]])</f>
        <v>2025</v>
      </c>
      <c r="O58">
        <f>MONTH(CleanedSalesData[[#This Row],[OrderDate]])</f>
        <v>3</v>
      </c>
      <c r="P58" t="str">
        <f>TEXT(CleanedSalesData[[#This Row],[OrderDate]], "yyyy-mm")</f>
        <v>2025-03</v>
      </c>
    </row>
    <row r="59" spans="1:16" x14ac:dyDescent="0.3">
      <c r="A59" s="3" t="s">
        <v>73</v>
      </c>
      <c r="B59" s="4">
        <v>45635</v>
      </c>
      <c r="C59" s="3" t="s">
        <v>516</v>
      </c>
      <c r="D59" s="3" t="s">
        <v>527</v>
      </c>
      <c r="E59" s="3" t="s">
        <v>558</v>
      </c>
      <c r="F59" s="3" t="s">
        <v>571</v>
      </c>
      <c r="G59" s="3" t="s">
        <v>574</v>
      </c>
      <c r="H59">
        <v>1</v>
      </c>
      <c r="I59" s="5">
        <v>14346.26</v>
      </c>
      <c r="J59">
        <v>0.1</v>
      </c>
      <c r="K59" s="5">
        <v>12911.63</v>
      </c>
      <c r="L59" s="5">
        <v>8896.11</v>
      </c>
      <c r="M59" s="5">
        <v>4015.52</v>
      </c>
      <c r="N59">
        <f>YEAR(CleanedSalesData[[#This Row],[OrderDate]])</f>
        <v>2024</v>
      </c>
      <c r="O59">
        <f>MONTH(CleanedSalesData[[#This Row],[OrderDate]])</f>
        <v>12</v>
      </c>
      <c r="P59" t="str">
        <f>TEXT(CleanedSalesData[[#This Row],[OrderDate]], "yyyy-mm")</f>
        <v>2024-12</v>
      </c>
    </row>
    <row r="60" spans="1:16" x14ac:dyDescent="0.3">
      <c r="A60" s="3" t="s">
        <v>74</v>
      </c>
      <c r="B60" s="4">
        <v>45366</v>
      </c>
      <c r="C60" s="3" t="s">
        <v>519</v>
      </c>
      <c r="D60" s="3" t="s">
        <v>534</v>
      </c>
      <c r="E60" s="3" t="s">
        <v>566</v>
      </c>
      <c r="F60" s="3" t="s">
        <v>573</v>
      </c>
      <c r="G60" s="3" t="s">
        <v>581</v>
      </c>
      <c r="H60">
        <v>2</v>
      </c>
      <c r="I60" s="5">
        <v>13370.67</v>
      </c>
      <c r="J60">
        <v>0</v>
      </c>
      <c r="K60" s="5">
        <v>26741.34</v>
      </c>
      <c r="L60" s="5">
        <v>23906.76</v>
      </c>
      <c r="M60" s="5">
        <v>2834.58</v>
      </c>
      <c r="N60">
        <f>YEAR(CleanedSalesData[[#This Row],[OrderDate]])</f>
        <v>2024</v>
      </c>
      <c r="O60">
        <f>MONTH(CleanedSalesData[[#This Row],[OrderDate]])</f>
        <v>3</v>
      </c>
      <c r="P60" t="str">
        <f>TEXT(CleanedSalesData[[#This Row],[OrderDate]], "yyyy-mm")</f>
        <v>2024-03</v>
      </c>
    </row>
    <row r="61" spans="1:16" x14ac:dyDescent="0.3">
      <c r="A61" s="3" t="s">
        <v>75</v>
      </c>
      <c r="B61" s="4">
        <v>45297</v>
      </c>
      <c r="C61" s="3" t="s">
        <v>516</v>
      </c>
      <c r="D61" s="3" t="s">
        <v>522</v>
      </c>
      <c r="E61" s="3" t="s">
        <v>539</v>
      </c>
      <c r="F61" s="3" t="s">
        <v>571</v>
      </c>
      <c r="G61" s="3" t="s">
        <v>579</v>
      </c>
      <c r="H61">
        <v>3</v>
      </c>
      <c r="I61" s="5">
        <v>38770.339999999997</v>
      </c>
      <c r="J61">
        <v>0</v>
      </c>
      <c r="K61" s="5">
        <v>116311.02</v>
      </c>
      <c r="L61" s="5">
        <v>91653.08</v>
      </c>
      <c r="M61" s="5">
        <v>24657.94</v>
      </c>
      <c r="N61">
        <f>YEAR(CleanedSalesData[[#This Row],[OrderDate]])</f>
        <v>2024</v>
      </c>
      <c r="O61">
        <f>MONTH(CleanedSalesData[[#This Row],[OrderDate]])</f>
        <v>1</v>
      </c>
      <c r="P61" t="str">
        <f>TEXT(CleanedSalesData[[#This Row],[OrderDate]], "yyyy-mm")</f>
        <v>2024-01</v>
      </c>
    </row>
    <row r="62" spans="1:16" x14ac:dyDescent="0.3">
      <c r="A62" s="3" t="s">
        <v>76</v>
      </c>
      <c r="B62" s="4">
        <v>45416</v>
      </c>
      <c r="C62" s="3" t="s">
        <v>519</v>
      </c>
      <c r="D62" s="3" t="s">
        <v>533</v>
      </c>
      <c r="E62" s="3" t="s">
        <v>555</v>
      </c>
      <c r="F62" s="3" t="s">
        <v>573</v>
      </c>
      <c r="G62" s="3" t="s">
        <v>584</v>
      </c>
      <c r="H62">
        <v>2</v>
      </c>
      <c r="I62" s="5">
        <v>24721.53</v>
      </c>
      <c r="J62">
        <v>0</v>
      </c>
      <c r="K62" s="5">
        <v>49443.06</v>
      </c>
      <c r="L62" s="5">
        <v>33670.720000000001</v>
      </c>
      <c r="M62" s="5">
        <v>15772.34</v>
      </c>
      <c r="N62">
        <f>YEAR(CleanedSalesData[[#This Row],[OrderDate]])</f>
        <v>2024</v>
      </c>
      <c r="O62">
        <f>MONTH(CleanedSalesData[[#This Row],[OrderDate]])</f>
        <v>5</v>
      </c>
      <c r="P62" t="str">
        <f>TEXT(CleanedSalesData[[#This Row],[OrderDate]], "yyyy-mm")</f>
        <v>2024-05</v>
      </c>
    </row>
    <row r="63" spans="1:16" x14ac:dyDescent="0.3">
      <c r="A63" s="3" t="s">
        <v>77</v>
      </c>
      <c r="B63" s="4">
        <v>45745</v>
      </c>
      <c r="C63" s="3" t="s">
        <v>517</v>
      </c>
      <c r="D63" s="3" t="s">
        <v>530</v>
      </c>
      <c r="E63" s="3" t="s">
        <v>549</v>
      </c>
      <c r="F63" s="3" t="s">
        <v>571</v>
      </c>
      <c r="G63" s="3" t="s">
        <v>576</v>
      </c>
      <c r="H63">
        <v>1</v>
      </c>
      <c r="I63" s="5">
        <v>37655.370000000003</v>
      </c>
      <c r="J63">
        <v>0</v>
      </c>
      <c r="K63" s="5">
        <v>37655.370000000003</v>
      </c>
      <c r="L63" s="5">
        <v>34529.97</v>
      </c>
      <c r="M63" s="5">
        <v>3125.4</v>
      </c>
      <c r="N63">
        <f>YEAR(CleanedSalesData[[#This Row],[OrderDate]])</f>
        <v>2025</v>
      </c>
      <c r="O63">
        <f>MONTH(CleanedSalesData[[#This Row],[OrderDate]])</f>
        <v>3</v>
      </c>
      <c r="P63" t="str">
        <f>TEXT(CleanedSalesData[[#This Row],[OrderDate]], "yyyy-mm")</f>
        <v>2025-03</v>
      </c>
    </row>
    <row r="64" spans="1:16" x14ac:dyDescent="0.3">
      <c r="A64" s="3" t="s">
        <v>78</v>
      </c>
      <c r="B64" s="4">
        <v>45575</v>
      </c>
      <c r="C64" s="3" t="s">
        <v>517</v>
      </c>
      <c r="D64" s="3" t="s">
        <v>530</v>
      </c>
      <c r="E64" s="3" t="s">
        <v>567</v>
      </c>
      <c r="F64" s="3" t="s">
        <v>572</v>
      </c>
      <c r="G64" s="3" t="s">
        <v>586</v>
      </c>
      <c r="H64">
        <v>1</v>
      </c>
      <c r="I64" s="5">
        <v>201.09</v>
      </c>
      <c r="J64">
        <v>0</v>
      </c>
      <c r="K64" s="5">
        <v>201.09</v>
      </c>
      <c r="L64" s="5">
        <v>165.3</v>
      </c>
      <c r="M64" s="5">
        <v>35.79</v>
      </c>
      <c r="N64">
        <f>YEAR(CleanedSalesData[[#This Row],[OrderDate]])</f>
        <v>2024</v>
      </c>
      <c r="O64">
        <f>MONTH(CleanedSalesData[[#This Row],[OrderDate]])</f>
        <v>10</v>
      </c>
      <c r="P64" t="str">
        <f>TEXT(CleanedSalesData[[#This Row],[OrderDate]], "yyyy-mm")</f>
        <v>2024-10</v>
      </c>
    </row>
    <row r="65" spans="1:16" x14ac:dyDescent="0.3">
      <c r="A65" s="3" t="s">
        <v>79</v>
      </c>
      <c r="B65" s="4">
        <v>45570</v>
      </c>
      <c r="C65" s="3" t="s">
        <v>520</v>
      </c>
      <c r="D65" s="3" t="s">
        <v>535</v>
      </c>
      <c r="E65" s="3" t="s">
        <v>565</v>
      </c>
      <c r="F65" s="3" t="s">
        <v>571</v>
      </c>
      <c r="G65" s="3" t="s">
        <v>574</v>
      </c>
      <c r="H65">
        <v>2</v>
      </c>
      <c r="I65" s="5">
        <v>20807.13</v>
      </c>
      <c r="J65">
        <v>0</v>
      </c>
      <c r="K65" s="5">
        <v>41614.26</v>
      </c>
      <c r="L65" s="5">
        <v>28797.07</v>
      </c>
      <c r="M65" s="5">
        <v>12817.19</v>
      </c>
      <c r="N65">
        <f>YEAR(CleanedSalesData[[#This Row],[OrderDate]])</f>
        <v>2024</v>
      </c>
      <c r="O65">
        <f>MONTH(CleanedSalesData[[#This Row],[OrderDate]])</f>
        <v>10</v>
      </c>
      <c r="P65" t="str">
        <f>TEXT(CleanedSalesData[[#This Row],[OrderDate]], "yyyy-mm")</f>
        <v>2024-10</v>
      </c>
    </row>
    <row r="66" spans="1:16" x14ac:dyDescent="0.3">
      <c r="A66" s="3" t="s">
        <v>80</v>
      </c>
      <c r="B66" s="4">
        <v>45511</v>
      </c>
      <c r="C66" s="3" t="s">
        <v>516</v>
      </c>
      <c r="D66" s="3" t="s">
        <v>522</v>
      </c>
      <c r="E66" s="3" t="s">
        <v>545</v>
      </c>
      <c r="F66" s="3" t="s">
        <v>572</v>
      </c>
      <c r="G66" s="3" t="s">
        <v>587</v>
      </c>
      <c r="H66">
        <v>1</v>
      </c>
      <c r="I66" s="5">
        <v>958.55</v>
      </c>
      <c r="J66">
        <v>0.1</v>
      </c>
      <c r="K66" s="5">
        <v>862.69</v>
      </c>
      <c r="L66" s="5">
        <v>687.56</v>
      </c>
      <c r="M66" s="5">
        <v>175.13</v>
      </c>
      <c r="N66">
        <f>YEAR(CleanedSalesData[[#This Row],[OrderDate]])</f>
        <v>2024</v>
      </c>
      <c r="O66">
        <f>MONTH(CleanedSalesData[[#This Row],[OrderDate]])</f>
        <v>8</v>
      </c>
      <c r="P66" t="str">
        <f>TEXT(CleanedSalesData[[#This Row],[OrderDate]], "yyyy-mm")</f>
        <v>2024-08</v>
      </c>
    </row>
    <row r="67" spans="1:16" x14ac:dyDescent="0.3">
      <c r="A67" s="3" t="s">
        <v>81</v>
      </c>
      <c r="B67" s="4">
        <v>45690</v>
      </c>
      <c r="C67" s="3" t="s">
        <v>517</v>
      </c>
      <c r="D67" s="3" t="s">
        <v>536</v>
      </c>
      <c r="E67" s="3" t="s">
        <v>560</v>
      </c>
      <c r="F67" s="3" t="s">
        <v>572</v>
      </c>
      <c r="G67" s="3" t="s">
        <v>588</v>
      </c>
      <c r="H67">
        <v>1</v>
      </c>
      <c r="I67" s="5">
        <v>1888.35</v>
      </c>
      <c r="J67">
        <v>0</v>
      </c>
      <c r="K67" s="5">
        <v>1888.35</v>
      </c>
      <c r="L67" s="5">
        <v>1667.41</v>
      </c>
      <c r="M67" s="5">
        <v>220.94</v>
      </c>
      <c r="N67">
        <f>YEAR(CleanedSalesData[[#This Row],[OrderDate]])</f>
        <v>2025</v>
      </c>
      <c r="O67">
        <f>MONTH(CleanedSalesData[[#This Row],[OrderDate]])</f>
        <v>2</v>
      </c>
      <c r="P67" t="str">
        <f>TEXT(CleanedSalesData[[#This Row],[OrderDate]], "yyyy-mm")</f>
        <v>2025-02</v>
      </c>
    </row>
    <row r="68" spans="1:16" x14ac:dyDescent="0.3">
      <c r="A68" s="3" t="s">
        <v>82</v>
      </c>
      <c r="B68" s="4">
        <v>45691</v>
      </c>
      <c r="C68" s="3" t="s">
        <v>519</v>
      </c>
      <c r="D68" s="3" t="s">
        <v>533</v>
      </c>
      <c r="E68" s="3" t="s">
        <v>555</v>
      </c>
      <c r="F68" s="3" t="s">
        <v>571</v>
      </c>
      <c r="G68" s="3" t="s">
        <v>578</v>
      </c>
      <c r="H68">
        <v>1</v>
      </c>
      <c r="I68" s="5">
        <v>36559.370000000003</v>
      </c>
      <c r="J68">
        <v>0.1</v>
      </c>
      <c r="K68" s="5">
        <v>32903.43</v>
      </c>
      <c r="L68" s="5">
        <v>27935.01</v>
      </c>
      <c r="M68" s="5">
        <v>4968.42</v>
      </c>
      <c r="N68">
        <f>YEAR(CleanedSalesData[[#This Row],[OrderDate]])</f>
        <v>2025</v>
      </c>
      <c r="O68">
        <f>MONTH(CleanedSalesData[[#This Row],[OrderDate]])</f>
        <v>2</v>
      </c>
      <c r="P68" t="str">
        <f>TEXT(CleanedSalesData[[#This Row],[OrderDate]], "yyyy-mm")</f>
        <v>2025-02</v>
      </c>
    </row>
    <row r="69" spans="1:16" x14ac:dyDescent="0.3">
      <c r="A69" s="3" t="s">
        <v>83</v>
      </c>
      <c r="B69" s="4">
        <v>45706</v>
      </c>
      <c r="C69" s="3" t="s">
        <v>518</v>
      </c>
      <c r="D69" s="3" t="s">
        <v>529</v>
      </c>
      <c r="E69" s="3" t="s">
        <v>548</v>
      </c>
      <c r="F69" s="3" t="s">
        <v>573</v>
      </c>
      <c r="G69" s="3" t="s">
        <v>584</v>
      </c>
      <c r="H69">
        <v>4</v>
      </c>
      <c r="I69" s="5">
        <v>2620.23</v>
      </c>
      <c r="J69">
        <v>0</v>
      </c>
      <c r="K69" s="5">
        <v>10480.92</v>
      </c>
      <c r="L69" s="5">
        <v>8940.2199999999993</v>
      </c>
      <c r="M69" s="5">
        <v>1540.7</v>
      </c>
      <c r="N69">
        <f>YEAR(CleanedSalesData[[#This Row],[OrderDate]])</f>
        <v>2025</v>
      </c>
      <c r="O69">
        <f>MONTH(CleanedSalesData[[#This Row],[OrderDate]])</f>
        <v>2</v>
      </c>
      <c r="P69" t="str">
        <f>TEXT(CleanedSalesData[[#This Row],[OrderDate]], "yyyy-mm")</f>
        <v>2025-02</v>
      </c>
    </row>
    <row r="70" spans="1:16" x14ac:dyDescent="0.3">
      <c r="A70" s="3" t="s">
        <v>84</v>
      </c>
      <c r="B70" s="4">
        <v>45869</v>
      </c>
      <c r="C70" s="3" t="s">
        <v>516</v>
      </c>
      <c r="D70" s="3" t="s">
        <v>525</v>
      </c>
      <c r="E70" s="3" t="s">
        <v>542</v>
      </c>
      <c r="F70" s="3" t="s">
        <v>571</v>
      </c>
      <c r="G70" s="3" t="s">
        <v>576</v>
      </c>
      <c r="H70">
        <v>1</v>
      </c>
      <c r="I70" s="5">
        <v>16993.14</v>
      </c>
      <c r="J70">
        <v>0</v>
      </c>
      <c r="K70" s="5">
        <v>16993.14</v>
      </c>
      <c r="L70" s="5">
        <v>12557.93</v>
      </c>
      <c r="M70" s="5">
        <v>4435.21</v>
      </c>
      <c r="N70">
        <f>YEAR(CleanedSalesData[[#This Row],[OrderDate]])</f>
        <v>2025</v>
      </c>
      <c r="O70">
        <f>MONTH(CleanedSalesData[[#This Row],[OrderDate]])</f>
        <v>7</v>
      </c>
      <c r="P70" t="str">
        <f>TEXT(CleanedSalesData[[#This Row],[OrderDate]], "yyyy-mm")</f>
        <v>2025-07</v>
      </c>
    </row>
    <row r="71" spans="1:16" x14ac:dyDescent="0.3">
      <c r="A71" s="3" t="s">
        <v>85</v>
      </c>
      <c r="B71" s="4">
        <v>45627</v>
      </c>
      <c r="C71" s="3" t="s">
        <v>518</v>
      </c>
      <c r="D71" s="3" t="s">
        <v>529</v>
      </c>
      <c r="E71" s="3" t="s">
        <v>553</v>
      </c>
      <c r="F71" s="3" t="s">
        <v>572</v>
      </c>
      <c r="G71" s="3" t="s">
        <v>586</v>
      </c>
      <c r="H71">
        <v>1</v>
      </c>
      <c r="I71" s="5">
        <v>592.6</v>
      </c>
      <c r="J71">
        <v>0</v>
      </c>
      <c r="K71" s="5">
        <v>592.6</v>
      </c>
      <c r="L71" s="5">
        <v>389.93</v>
      </c>
      <c r="M71" s="5">
        <v>202.67</v>
      </c>
      <c r="N71">
        <f>YEAR(CleanedSalesData[[#This Row],[OrderDate]])</f>
        <v>2024</v>
      </c>
      <c r="O71">
        <f>MONTH(CleanedSalesData[[#This Row],[OrderDate]])</f>
        <v>12</v>
      </c>
      <c r="P71" t="str">
        <f>TEXT(CleanedSalesData[[#This Row],[OrderDate]], "yyyy-mm")</f>
        <v>2024-12</v>
      </c>
    </row>
    <row r="72" spans="1:16" x14ac:dyDescent="0.3">
      <c r="A72" s="3" t="s">
        <v>86</v>
      </c>
      <c r="B72" s="4">
        <v>45723</v>
      </c>
      <c r="C72" s="3" t="s">
        <v>520</v>
      </c>
      <c r="D72" s="3" t="s">
        <v>528</v>
      </c>
      <c r="E72" s="3" t="s">
        <v>552</v>
      </c>
      <c r="F72" s="3" t="s">
        <v>571</v>
      </c>
      <c r="G72" s="3" t="s">
        <v>579</v>
      </c>
      <c r="H72">
        <v>4</v>
      </c>
      <c r="I72" s="5">
        <v>7010.59</v>
      </c>
      <c r="J72">
        <v>0</v>
      </c>
      <c r="K72" s="5">
        <v>28042.36</v>
      </c>
      <c r="L72" s="5">
        <v>24509.02</v>
      </c>
      <c r="M72" s="5">
        <v>3533.34</v>
      </c>
      <c r="N72">
        <f>YEAR(CleanedSalesData[[#This Row],[OrderDate]])</f>
        <v>2025</v>
      </c>
      <c r="O72">
        <f>MONTH(CleanedSalesData[[#This Row],[OrderDate]])</f>
        <v>3</v>
      </c>
      <c r="P72" t="str">
        <f>TEXT(CleanedSalesData[[#This Row],[OrderDate]], "yyyy-mm")</f>
        <v>2025-03</v>
      </c>
    </row>
    <row r="73" spans="1:16" x14ac:dyDescent="0.3">
      <c r="A73" s="3" t="s">
        <v>87</v>
      </c>
      <c r="B73" s="4">
        <v>45521</v>
      </c>
      <c r="C73" s="3" t="s">
        <v>516</v>
      </c>
      <c r="D73" s="3" t="s">
        <v>525</v>
      </c>
      <c r="E73" s="3" t="s">
        <v>557</v>
      </c>
      <c r="F73" s="3" t="s">
        <v>571</v>
      </c>
      <c r="G73" s="3" t="s">
        <v>574</v>
      </c>
      <c r="H73">
        <v>1</v>
      </c>
      <c r="I73" s="5">
        <v>67620.62</v>
      </c>
      <c r="J73">
        <v>0</v>
      </c>
      <c r="K73" s="5">
        <v>67620.62</v>
      </c>
      <c r="L73" s="5">
        <v>58153.73</v>
      </c>
      <c r="M73" s="5">
        <v>9466.89</v>
      </c>
      <c r="N73">
        <f>YEAR(CleanedSalesData[[#This Row],[OrderDate]])</f>
        <v>2024</v>
      </c>
      <c r="O73">
        <f>MONTH(CleanedSalesData[[#This Row],[OrderDate]])</f>
        <v>8</v>
      </c>
      <c r="P73" t="str">
        <f>TEXT(CleanedSalesData[[#This Row],[OrderDate]], "yyyy-mm")</f>
        <v>2024-08</v>
      </c>
    </row>
    <row r="74" spans="1:16" x14ac:dyDescent="0.3">
      <c r="A74" s="3" t="s">
        <v>88</v>
      </c>
      <c r="B74" s="4">
        <v>45536</v>
      </c>
      <c r="C74" s="3" t="s">
        <v>518</v>
      </c>
      <c r="D74" s="3" t="s">
        <v>529</v>
      </c>
      <c r="E74" s="3" t="s">
        <v>548</v>
      </c>
      <c r="F74" s="3" t="s">
        <v>573</v>
      </c>
      <c r="G74" s="3" t="s">
        <v>585</v>
      </c>
      <c r="H74">
        <v>1</v>
      </c>
      <c r="I74" s="5">
        <v>12695.78</v>
      </c>
      <c r="J74">
        <v>0</v>
      </c>
      <c r="K74" s="5">
        <v>12695.78</v>
      </c>
      <c r="L74" s="5">
        <v>11921.34</v>
      </c>
      <c r="M74" s="5">
        <v>774.44</v>
      </c>
      <c r="N74">
        <f>YEAR(CleanedSalesData[[#This Row],[OrderDate]])</f>
        <v>2024</v>
      </c>
      <c r="O74">
        <f>MONTH(CleanedSalesData[[#This Row],[OrderDate]])</f>
        <v>9</v>
      </c>
      <c r="P74" t="str">
        <f>TEXT(CleanedSalesData[[#This Row],[OrderDate]], "yyyy-mm")</f>
        <v>2024-09</v>
      </c>
    </row>
    <row r="75" spans="1:16" x14ac:dyDescent="0.3">
      <c r="A75" s="3" t="s">
        <v>89</v>
      </c>
      <c r="B75" s="4">
        <v>45669</v>
      </c>
      <c r="C75" s="3" t="s">
        <v>518</v>
      </c>
      <c r="D75" s="3" t="s">
        <v>524</v>
      </c>
      <c r="E75" s="3" t="s">
        <v>550</v>
      </c>
      <c r="F75" s="3" t="s">
        <v>571</v>
      </c>
      <c r="G75" s="3" t="s">
        <v>578</v>
      </c>
      <c r="H75">
        <v>1</v>
      </c>
      <c r="I75" s="5">
        <v>11323.6</v>
      </c>
      <c r="J75">
        <v>0.1</v>
      </c>
      <c r="K75" s="5">
        <v>10191.24</v>
      </c>
      <c r="L75" s="5">
        <v>8142.8</v>
      </c>
      <c r="M75" s="5">
        <v>2048.44</v>
      </c>
      <c r="N75">
        <f>YEAR(CleanedSalesData[[#This Row],[OrderDate]])</f>
        <v>2025</v>
      </c>
      <c r="O75">
        <f>MONTH(CleanedSalesData[[#This Row],[OrderDate]])</f>
        <v>1</v>
      </c>
      <c r="P75" t="str">
        <f>TEXT(CleanedSalesData[[#This Row],[OrderDate]], "yyyy-mm")</f>
        <v>2025-01</v>
      </c>
    </row>
    <row r="76" spans="1:16" x14ac:dyDescent="0.3">
      <c r="A76" s="3" t="s">
        <v>90</v>
      </c>
      <c r="B76" s="4">
        <v>45881</v>
      </c>
      <c r="C76" s="3" t="s">
        <v>519</v>
      </c>
      <c r="D76" s="3" t="s">
        <v>534</v>
      </c>
      <c r="E76" s="3" t="s">
        <v>566</v>
      </c>
      <c r="F76" s="3" t="s">
        <v>571</v>
      </c>
      <c r="G76" s="3" t="s">
        <v>579</v>
      </c>
      <c r="H76">
        <v>1</v>
      </c>
      <c r="I76" s="5">
        <v>56177.31</v>
      </c>
      <c r="J76">
        <v>0</v>
      </c>
      <c r="K76" s="5">
        <v>56177.31</v>
      </c>
      <c r="L76" s="5">
        <v>48649.55</v>
      </c>
      <c r="M76" s="5">
        <v>7527.76</v>
      </c>
      <c r="N76">
        <f>YEAR(CleanedSalesData[[#This Row],[OrderDate]])</f>
        <v>2025</v>
      </c>
      <c r="O76">
        <f>MONTH(CleanedSalesData[[#This Row],[OrderDate]])</f>
        <v>8</v>
      </c>
      <c r="P76" t="str">
        <f>TEXT(CleanedSalesData[[#This Row],[OrderDate]], "yyyy-mm")</f>
        <v>2025-08</v>
      </c>
    </row>
    <row r="77" spans="1:16" x14ac:dyDescent="0.3">
      <c r="A77" s="3" t="s">
        <v>91</v>
      </c>
      <c r="B77" s="4">
        <v>45396</v>
      </c>
      <c r="C77" s="3" t="s">
        <v>520</v>
      </c>
      <c r="D77" s="3" t="s">
        <v>528</v>
      </c>
      <c r="E77" s="3" t="s">
        <v>547</v>
      </c>
      <c r="F77" s="3" t="s">
        <v>572</v>
      </c>
      <c r="G77" s="3" t="s">
        <v>587</v>
      </c>
      <c r="H77">
        <v>3</v>
      </c>
      <c r="I77" s="5">
        <v>885.34</v>
      </c>
      <c r="J77">
        <v>0</v>
      </c>
      <c r="K77" s="5">
        <v>2656.02</v>
      </c>
      <c r="L77" s="5">
        <v>2331.9899999999998</v>
      </c>
      <c r="M77" s="5">
        <v>324.02999999999997</v>
      </c>
      <c r="N77">
        <f>YEAR(CleanedSalesData[[#This Row],[OrderDate]])</f>
        <v>2024</v>
      </c>
      <c r="O77">
        <f>MONTH(CleanedSalesData[[#This Row],[OrderDate]])</f>
        <v>4</v>
      </c>
      <c r="P77" t="str">
        <f>TEXT(CleanedSalesData[[#This Row],[OrderDate]], "yyyy-mm")</f>
        <v>2024-04</v>
      </c>
    </row>
    <row r="78" spans="1:16" x14ac:dyDescent="0.3">
      <c r="A78" s="3" t="s">
        <v>92</v>
      </c>
      <c r="B78" s="4">
        <v>45810</v>
      </c>
      <c r="C78" s="3" t="s">
        <v>520</v>
      </c>
      <c r="D78" s="3" t="s">
        <v>528</v>
      </c>
      <c r="E78" s="3" t="s">
        <v>552</v>
      </c>
      <c r="F78" s="3" t="s">
        <v>572</v>
      </c>
      <c r="G78" s="3" t="s">
        <v>588</v>
      </c>
      <c r="H78">
        <v>1</v>
      </c>
      <c r="I78" s="5">
        <v>895.37</v>
      </c>
      <c r="J78">
        <v>0</v>
      </c>
      <c r="K78" s="5">
        <v>895.37</v>
      </c>
      <c r="L78" s="5">
        <v>718.98</v>
      </c>
      <c r="M78" s="5">
        <v>176.39</v>
      </c>
      <c r="N78">
        <f>YEAR(CleanedSalesData[[#This Row],[OrderDate]])</f>
        <v>2025</v>
      </c>
      <c r="O78">
        <f>MONTH(CleanedSalesData[[#This Row],[OrderDate]])</f>
        <v>6</v>
      </c>
      <c r="P78" t="str">
        <f>TEXT(CleanedSalesData[[#This Row],[OrderDate]], "yyyy-mm")</f>
        <v>2025-06</v>
      </c>
    </row>
    <row r="79" spans="1:16" x14ac:dyDescent="0.3">
      <c r="A79" s="3" t="s">
        <v>93</v>
      </c>
      <c r="B79" s="4">
        <v>45762</v>
      </c>
      <c r="C79" s="3" t="s">
        <v>518</v>
      </c>
      <c r="D79" s="3" t="s">
        <v>529</v>
      </c>
      <c r="E79" s="3" t="s">
        <v>548</v>
      </c>
      <c r="F79" s="3" t="s">
        <v>573</v>
      </c>
      <c r="G79" s="3" t="s">
        <v>584</v>
      </c>
      <c r="H79">
        <v>5</v>
      </c>
      <c r="I79" s="5">
        <v>24205.9</v>
      </c>
      <c r="J79">
        <v>0</v>
      </c>
      <c r="K79" s="5">
        <v>121029.5</v>
      </c>
      <c r="L79" s="5">
        <v>106142.87</v>
      </c>
      <c r="M79" s="5">
        <v>14886.63</v>
      </c>
      <c r="N79">
        <f>YEAR(CleanedSalesData[[#This Row],[OrderDate]])</f>
        <v>2025</v>
      </c>
      <c r="O79">
        <f>MONTH(CleanedSalesData[[#This Row],[OrderDate]])</f>
        <v>4</v>
      </c>
      <c r="P79" t="str">
        <f>TEXT(CleanedSalesData[[#This Row],[OrderDate]], "yyyy-mm")</f>
        <v>2025-04</v>
      </c>
    </row>
    <row r="80" spans="1:16" x14ac:dyDescent="0.3">
      <c r="A80" s="3" t="s">
        <v>94</v>
      </c>
      <c r="B80" s="4">
        <v>45843</v>
      </c>
      <c r="C80" s="3" t="s">
        <v>519</v>
      </c>
      <c r="D80" s="3" t="s">
        <v>534</v>
      </c>
      <c r="E80" s="3" t="s">
        <v>556</v>
      </c>
      <c r="F80" s="3" t="s">
        <v>573</v>
      </c>
      <c r="G80" s="3" t="s">
        <v>584</v>
      </c>
      <c r="H80">
        <v>2</v>
      </c>
      <c r="I80" s="5">
        <v>8173.1</v>
      </c>
      <c r="J80">
        <v>0</v>
      </c>
      <c r="K80" s="5">
        <v>16346.2</v>
      </c>
      <c r="L80" s="5">
        <v>11801.96</v>
      </c>
      <c r="M80" s="5">
        <v>4544.24</v>
      </c>
      <c r="N80">
        <f>YEAR(CleanedSalesData[[#This Row],[OrderDate]])</f>
        <v>2025</v>
      </c>
      <c r="O80">
        <f>MONTH(CleanedSalesData[[#This Row],[OrderDate]])</f>
        <v>7</v>
      </c>
      <c r="P80" t="str">
        <f>TEXT(CleanedSalesData[[#This Row],[OrderDate]], "yyyy-mm")</f>
        <v>2025-07</v>
      </c>
    </row>
    <row r="81" spans="1:16" x14ac:dyDescent="0.3">
      <c r="A81" s="3" t="s">
        <v>95</v>
      </c>
      <c r="B81" s="4">
        <v>45380</v>
      </c>
      <c r="C81" s="3" t="s">
        <v>520</v>
      </c>
      <c r="D81" s="3" t="s">
        <v>535</v>
      </c>
      <c r="E81" s="3" t="s">
        <v>565</v>
      </c>
      <c r="F81" s="3" t="s">
        <v>572</v>
      </c>
      <c r="G81" s="3" t="s">
        <v>587</v>
      </c>
      <c r="H81">
        <v>1</v>
      </c>
      <c r="I81" s="5">
        <v>1240.1500000000001</v>
      </c>
      <c r="J81">
        <v>0</v>
      </c>
      <c r="K81" s="5">
        <v>1240.1500000000001</v>
      </c>
      <c r="L81" s="5">
        <v>907.79</v>
      </c>
      <c r="M81" s="5">
        <v>332.36</v>
      </c>
      <c r="N81">
        <f>YEAR(CleanedSalesData[[#This Row],[OrderDate]])</f>
        <v>2024</v>
      </c>
      <c r="O81">
        <f>MONTH(CleanedSalesData[[#This Row],[OrderDate]])</f>
        <v>3</v>
      </c>
      <c r="P81" t="str">
        <f>TEXT(CleanedSalesData[[#This Row],[OrderDate]], "yyyy-mm")</f>
        <v>2024-03</v>
      </c>
    </row>
    <row r="82" spans="1:16" x14ac:dyDescent="0.3">
      <c r="A82" s="3" t="s">
        <v>96</v>
      </c>
      <c r="B82" s="4">
        <v>45321</v>
      </c>
      <c r="C82" s="3" t="s">
        <v>519</v>
      </c>
      <c r="D82" s="3" t="s">
        <v>532</v>
      </c>
      <c r="E82" s="3" t="s">
        <v>564</v>
      </c>
      <c r="F82" s="3" t="s">
        <v>572</v>
      </c>
      <c r="G82" s="3" t="s">
        <v>583</v>
      </c>
      <c r="H82">
        <v>1</v>
      </c>
      <c r="I82" s="5">
        <v>741.91</v>
      </c>
      <c r="J82">
        <v>0</v>
      </c>
      <c r="K82" s="5">
        <v>741.91</v>
      </c>
      <c r="L82" s="5">
        <v>563.85</v>
      </c>
      <c r="M82" s="5">
        <v>178.06</v>
      </c>
      <c r="N82">
        <f>YEAR(CleanedSalesData[[#This Row],[OrderDate]])</f>
        <v>2024</v>
      </c>
      <c r="O82">
        <f>MONTH(CleanedSalesData[[#This Row],[OrderDate]])</f>
        <v>1</v>
      </c>
      <c r="P82" t="str">
        <f>TEXT(CleanedSalesData[[#This Row],[OrderDate]], "yyyy-mm")</f>
        <v>2024-01</v>
      </c>
    </row>
    <row r="83" spans="1:16" x14ac:dyDescent="0.3">
      <c r="A83" s="3" t="s">
        <v>97</v>
      </c>
      <c r="B83" s="4">
        <v>45578</v>
      </c>
      <c r="C83" s="3" t="s">
        <v>517</v>
      </c>
      <c r="D83" s="3" t="s">
        <v>531</v>
      </c>
      <c r="E83" s="3" t="s">
        <v>551</v>
      </c>
      <c r="F83" s="3" t="s">
        <v>573</v>
      </c>
      <c r="G83" s="3" t="s">
        <v>585</v>
      </c>
      <c r="H83">
        <v>1</v>
      </c>
      <c r="I83" s="5">
        <v>3969.1</v>
      </c>
      <c r="J83">
        <v>0</v>
      </c>
      <c r="K83" s="5">
        <v>3969.1</v>
      </c>
      <c r="L83" s="5">
        <v>3131.62</v>
      </c>
      <c r="M83" s="5">
        <v>837.48</v>
      </c>
      <c r="N83">
        <f>YEAR(CleanedSalesData[[#This Row],[OrderDate]])</f>
        <v>2024</v>
      </c>
      <c r="O83">
        <f>MONTH(CleanedSalesData[[#This Row],[OrderDate]])</f>
        <v>10</v>
      </c>
      <c r="P83" t="str">
        <f>TEXT(CleanedSalesData[[#This Row],[OrderDate]], "yyyy-mm")</f>
        <v>2024-10</v>
      </c>
    </row>
    <row r="84" spans="1:16" x14ac:dyDescent="0.3">
      <c r="A84" s="3" t="s">
        <v>98</v>
      </c>
      <c r="B84" s="4">
        <v>45792</v>
      </c>
      <c r="C84" s="3" t="s">
        <v>517</v>
      </c>
      <c r="D84" s="3" t="s">
        <v>523</v>
      </c>
      <c r="E84" s="3" t="s">
        <v>540</v>
      </c>
      <c r="F84" s="3" t="s">
        <v>573</v>
      </c>
      <c r="G84" s="3" t="s">
        <v>581</v>
      </c>
      <c r="H84">
        <v>1</v>
      </c>
      <c r="I84" s="5">
        <v>12308.01</v>
      </c>
      <c r="J84">
        <v>0.1</v>
      </c>
      <c r="K84" s="5">
        <v>11077.21</v>
      </c>
      <c r="L84" s="5">
        <v>7742.97</v>
      </c>
      <c r="M84" s="5">
        <v>3334.24</v>
      </c>
      <c r="N84">
        <f>YEAR(CleanedSalesData[[#This Row],[OrderDate]])</f>
        <v>2025</v>
      </c>
      <c r="O84">
        <f>MONTH(CleanedSalesData[[#This Row],[OrderDate]])</f>
        <v>5</v>
      </c>
      <c r="P84" t="str">
        <f>TEXT(CleanedSalesData[[#This Row],[OrderDate]], "yyyy-mm")</f>
        <v>2025-05</v>
      </c>
    </row>
    <row r="85" spans="1:16" x14ac:dyDescent="0.3">
      <c r="A85" s="3" t="s">
        <v>99</v>
      </c>
      <c r="B85" s="4">
        <v>45518</v>
      </c>
      <c r="C85" s="3" t="s">
        <v>519</v>
      </c>
      <c r="D85" s="3" t="s">
        <v>533</v>
      </c>
      <c r="E85" s="3" t="s">
        <v>555</v>
      </c>
      <c r="F85" s="3" t="s">
        <v>573</v>
      </c>
      <c r="G85" s="3" t="s">
        <v>584</v>
      </c>
      <c r="H85">
        <v>1</v>
      </c>
      <c r="I85" s="5">
        <v>10487.47</v>
      </c>
      <c r="J85">
        <v>0</v>
      </c>
      <c r="K85" s="5">
        <v>10487.47</v>
      </c>
      <c r="L85" s="5">
        <v>9375.7999999999993</v>
      </c>
      <c r="M85" s="5">
        <v>1111.67</v>
      </c>
      <c r="N85">
        <f>YEAR(CleanedSalesData[[#This Row],[OrderDate]])</f>
        <v>2024</v>
      </c>
      <c r="O85">
        <f>MONTH(CleanedSalesData[[#This Row],[OrderDate]])</f>
        <v>8</v>
      </c>
      <c r="P85" t="str">
        <f>TEXT(CleanedSalesData[[#This Row],[OrderDate]], "yyyy-mm")</f>
        <v>2024-08</v>
      </c>
    </row>
    <row r="86" spans="1:16" x14ac:dyDescent="0.3">
      <c r="A86" s="3" t="s">
        <v>100</v>
      </c>
      <c r="B86" s="4">
        <v>45644</v>
      </c>
      <c r="C86" s="3" t="s">
        <v>519</v>
      </c>
      <c r="D86" s="3" t="s">
        <v>532</v>
      </c>
      <c r="E86" s="3" t="s">
        <v>554</v>
      </c>
      <c r="F86" s="3" t="s">
        <v>573</v>
      </c>
      <c r="G86" s="3" t="s">
        <v>581</v>
      </c>
      <c r="H86">
        <v>1</v>
      </c>
      <c r="I86" s="5">
        <v>8231.08</v>
      </c>
      <c r="J86">
        <v>0</v>
      </c>
      <c r="K86" s="5">
        <v>8231.08</v>
      </c>
      <c r="L86" s="5">
        <v>6362.62</v>
      </c>
      <c r="M86" s="5">
        <v>1868.46</v>
      </c>
      <c r="N86">
        <f>YEAR(CleanedSalesData[[#This Row],[OrderDate]])</f>
        <v>2024</v>
      </c>
      <c r="O86">
        <f>MONTH(CleanedSalesData[[#This Row],[OrderDate]])</f>
        <v>12</v>
      </c>
      <c r="P86" t="str">
        <f>TEXT(CleanedSalesData[[#This Row],[OrderDate]], "yyyy-mm")</f>
        <v>2024-12</v>
      </c>
    </row>
    <row r="87" spans="1:16" x14ac:dyDescent="0.3">
      <c r="A87" s="3" t="s">
        <v>101</v>
      </c>
      <c r="B87" s="4">
        <v>45415</v>
      </c>
      <c r="C87" s="3" t="s">
        <v>518</v>
      </c>
      <c r="D87" s="3" t="s">
        <v>529</v>
      </c>
      <c r="E87" s="3" t="s">
        <v>548</v>
      </c>
      <c r="F87" s="3" t="s">
        <v>573</v>
      </c>
      <c r="G87" s="3" t="s">
        <v>584</v>
      </c>
      <c r="H87">
        <v>2</v>
      </c>
      <c r="I87" s="5">
        <v>23870.18</v>
      </c>
      <c r="J87">
        <v>0</v>
      </c>
      <c r="K87" s="5">
        <v>47740.36</v>
      </c>
      <c r="L87" s="5">
        <v>45114.64</v>
      </c>
      <c r="M87" s="5">
        <v>2625.72</v>
      </c>
      <c r="N87">
        <f>YEAR(CleanedSalesData[[#This Row],[OrderDate]])</f>
        <v>2024</v>
      </c>
      <c r="O87">
        <f>MONTH(CleanedSalesData[[#This Row],[OrderDate]])</f>
        <v>5</v>
      </c>
      <c r="P87" t="str">
        <f>TEXT(CleanedSalesData[[#This Row],[OrderDate]], "yyyy-mm")</f>
        <v>2024-05</v>
      </c>
    </row>
    <row r="88" spans="1:16" x14ac:dyDescent="0.3">
      <c r="A88" s="3" t="s">
        <v>102</v>
      </c>
      <c r="B88" s="4">
        <v>45488</v>
      </c>
      <c r="C88" s="3" t="s">
        <v>518</v>
      </c>
      <c r="D88" s="3" t="s">
        <v>524</v>
      </c>
      <c r="E88" s="3" t="s">
        <v>541</v>
      </c>
      <c r="F88" s="3" t="s">
        <v>572</v>
      </c>
      <c r="G88" s="3" t="s">
        <v>587</v>
      </c>
      <c r="H88">
        <v>1</v>
      </c>
      <c r="I88" s="5">
        <v>1954.38</v>
      </c>
      <c r="J88">
        <v>0</v>
      </c>
      <c r="K88" s="5">
        <v>1954.38</v>
      </c>
      <c r="L88" s="5">
        <v>1723.76</v>
      </c>
      <c r="M88" s="5">
        <v>230.62</v>
      </c>
      <c r="N88">
        <f>YEAR(CleanedSalesData[[#This Row],[OrderDate]])</f>
        <v>2024</v>
      </c>
      <c r="O88">
        <f>MONTH(CleanedSalesData[[#This Row],[OrderDate]])</f>
        <v>7</v>
      </c>
      <c r="P88" t="str">
        <f>TEXT(CleanedSalesData[[#This Row],[OrderDate]], "yyyy-mm")</f>
        <v>2024-07</v>
      </c>
    </row>
    <row r="89" spans="1:16" x14ac:dyDescent="0.3">
      <c r="A89" s="3" t="s">
        <v>103</v>
      </c>
      <c r="B89" s="4">
        <v>45581</v>
      </c>
      <c r="C89" s="3" t="s">
        <v>516</v>
      </c>
      <c r="D89" s="3" t="s">
        <v>527</v>
      </c>
      <c r="E89" s="3" t="s">
        <v>558</v>
      </c>
      <c r="F89" s="3" t="s">
        <v>571</v>
      </c>
      <c r="G89" s="3" t="s">
        <v>578</v>
      </c>
      <c r="H89">
        <v>1</v>
      </c>
      <c r="I89" s="5">
        <v>16817</v>
      </c>
      <c r="J89">
        <v>0.15</v>
      </c>
      <c r="K89" s="5">
        <v>14294.45</v>
      </c>
      <c r="L89" s="5">
        <v>12836.42</v>
      </c>
      <c r="M89" s="5">
        <v>1458.03</v>
      </c>
      <c r="N89">
        <f>YEAR(CleanedSalesData[[#This Row],[OrderDate]])</f>
        <v>2024</v>
      </c>
      <c r="O89">
        <f>MONTH(CleanedSalesData[[#This Row],[OrderDate]])</f>
        <v>10</v>
      </c>
      <c r="P89" t="str">
        <f>TEXT(CleanedSalesData[[#This Row],[OrderDate]], "yyyy-mm")</f>
        <v>2024-10</v>
      </c>
    </row>
    <row r="90" spans="1:16" x14ac:dyDescent="0.3">
      <c r="A90" s="3" t="s">
        <v>104</v>
      </c>
      <c r="B90" s="4">
        <v>45421</v>
      </c>
      <c r="C90" s="3" t="s">
        <v>520</v>
      </c>
      <c r="D90" s="3" t="s">
        <v>528</v>
      </c>
      <c r="E90" s="3" t="s">
        <v>547</v>
      </c>
      <c r="F90" s="3" t="s">
        <v>573</v>
      </c>
      <c r="G90" s="3" t="s">
        <v>580</v>
      </c>
      <c r="H90">
        <v>2</v>
      </c>
      <c r="I90" s="5">
        <v>18040.599999999999</v>
      </c>
      <c r="J90">
        <v>0.1</v>
      </c>
      <c r="K90" s="5">
        <v>32473.08</v>
      </c>
      <c r="L90" s="5">
        <v>27082.55</v>
      </c>
      <c r="M90" s="5">
        <v>5390.53</v>
      </c>
      <c r="N90">
        <f>YEAR(CleanedSalesData[[#This Row],[OrderDate]])</f>
        <v>2024</v>
      </c>
      <c r="O90">
        <f>MONTH(CleanedSalesData[[#This Row],[OrderDate]])</f>
        <v>5</v>
      </c>
      <c r="P90" t="str">
        <f>TEXT(CleanedSalesData[[#This Row],[OrderDate]], "yyyy-mm")</f>
        <v>2024-05</v>
      </c>
    </row>
    <row r="91" spans="1:16" x14ac:dyDescent="0.3">
      <c r="A91" s="3" t="s">
        <v>105</v>
      </c>
      <c r="B91" s="4">
        <v>45397</v>
      </c>
      <c r="C91" s="3" t="s">
        <v>516</v>
      </c>
      <c r="D91" s="3" t="s">
        <v>521</v>
      </c>
      <c r="E91" s="3" t="s">
        <v>568</v>
      </c>
      <c r="F91" s="3" t="s">
        <v>572</v>
      </c>
      <c r="G91" s="3" t="s">
        <v>586</v>
      </c>
      <c r="H91">
        <v>4</v>
      </c>
      <c r="I91" s="5">
        <v>714.38</v>
      </c>
      <c r="J91">
        <v>0</v>
      </c>
      <c r="K91" s="5">
        <v>2857.52</v>
      </c>
      <c r="L91" s="5">
        <v>2597.4899999999998</v>
      </c>
      <c r="M91" s="5">
        <v>260.02999999999997</v>
      </c>
      <c r="N91">
        <f>YEAR(CleanedSalesData[[#This Row],[OrderDate]])</f>
        <v>2024</v>
      </c>
      <c r="O91">
        <f>MONTH(CleanedSalesData[[#This Row],[OrderDate]])</f>
        <v>4</v>
      </c>
      <c r="P91" t="str">
        <f>TEXT(CleanedSalesData[[#This Row],[OrderDate]], "yyyy-mm")</f>
        <v>2024-04</v>
      </c>
    </row>
    <row r="92" spans="1:16" x14ac:dyDescent="0.3">
      <c r="A92" s="3" t="s">
        <v>106</v>
      </c>
      <c r="B92" s="4">
        <v>45550</v>
      </c>
      <c r="C92" s="3" t="s">
        <v>519</v>
      </c>
      <c r="D92" s="3" t="s">
        <v>526</v>
      </c>
      <c r="E92" s="3" t="s">
        <v>562</v>
      </c>
      <c r="F92" s="3" t="s">
        <v>572</v>
      </c>
      <c r="G92" s="3" t="s">
        <v>586</v>
      </c>
      <c r="H92">
        <v>1</v>
      </c>
      <c r="I92" s="5">
        <v>194.46</v>
      </c>
      <c r="J92">
        <v>0</v>
      </c>
      <c r="K92" s="5">
        <v>194.46</v>
      </c>
      <c r="L92" s="5">
        <v>178.13</v>
      </c>
      <c r="M92" s="5">
        <v>16.329999999999998</v>
      </c>
      <c r="N92">
        <f>YEAR(CleanedSalesData[[#This Row],[OrderDate]])</f>
        <v>2024</v>
      </c>
      <c r="O92">
        <f>MONTH(CleanedSalesData[[#This Row],[OrderDate]])</f>
        <v>9</v>
      </c>
      <c r="P92" t="str">
        <f>TEXT(CleanedSalesData[[#This Row],[OrderDate]], "yyyy-mm")</f>
        <v>2024-09</v>
      </c>
    </row>
    <row r="93" spans="1:16" x14ac:dyDescent="0.3">
      <c r="A93" s="3" t="s">
        <v>107</v>
      </c>
      <c r="B93" s="4">
        <v>45346</v>
      </c>
      <c r="C93" s="3" t="s">
        <v>518</v>
      </c>
      <c r="D93" s="3" t="s">
        <v>537</v>
      </c>
      <c r="E93" s="3" t="s">
        <v>569</v>
      </c>
      <c r="F93" s="3" t="s">
        <v>571</v>
      </c>
      <c r="G93" s="3" t="s">
        <v>574</v>
      </c>
      <c r="H93">
        <v>3</v>
      </c>
      <c r="I93" s="5">
        <v>12120.77</v>
      </c>
      <c r="J93">
        <v>0</v>
      </c>
      <c r="K93" s="5">
        <v>36362.31</v>
      </c>
      <c r="L93" s="5">
        <v>24980.91</v>
      </c>
      <c r="M93" s="5">
        <v>11381.4</v>
      </c>
      <c r="N93">
        <f>YEAR(CleanedSalesData[[#This Row],[OrderDate]])</f>
        <v>2024</v>
      </c>
      <c r="O93">
        <f>MONTH(CleanedSalesData[[#This Row],[OrderDate]])</f>
        <v>2</v>
      </c>
      <c r="P93" t="str">
        <f>TEXT(CleanedSalesData[[#This Row],[OrderDate]], "yyyy-mm")</f>
        <v>2024-02</v>
      </c>
    </row>
    <row r="94" spans="1:16" x14ac:dyDescent="0.3">
      <c r="A94" s="3" t="s">
        <v>108</v>
      </c>
      <c r="B94" s="4">
        <v>45523</v>
      </c>
      <c r="C94" s="3" t="s">
        <v>517</v>
      </c>
      <c r="D94" s="3" t="s">
        <v>530</v>
      </c>
      <c r="E94" s="3" t="s">
        <v>549</v>
      </c>
      <c r="F94" s="3" t="s">
        <v>572</v>
      </c>
      <c r="G94" s="3" t="s">
        <v>577</v>
      </c>
      <c r="H94">
        <v>1</v>
      </c>
      <c r="I94" s="5">
        <v>1727.32</v>
      </c>
      <c r="J94">
        <v>0</v>
      </c>
      <c r="K94" s="5">
        <v>1727.32</v>
      </c>
      <c r="L94" s="5">
        <v>1298.94</v>
      </c>
      <c r="M94" s="5">
        <v>428.38</v>
      </c>
      <c r="N94">
        <f>YEAR(CleanedSalesData[[#This Row],[OrderDate]])</f>
        <v>2024</v>
      </c>
      <c r="O94">
        <f>MONTH(CleanedSalesData[[#This Row],[OrderDate]])</f>
        <v>8</v>
      </c>
      <c r="P94" t="str">
        <f>TEXT(CleanedSalesData[[#This Row],[OrderDate]], "yyyy-mm")</f>
        <v>2024-08</v>
      </c>
    </row>
    <row r="95" spans="1:16" x14ac:dyDescent="0.3">
      <c r="A95" s="3" t="s">
        <v>109</v>
      </c>
      <c r="B95" s="4">
        <v>45604</v>
      </c>
      <c r="C95" s="3" t="s">
        <v>517</v>
      </c>
      <c r="D95" s="3" t="s">
        <v>536</v>
      </c>
      <c r="E95" s="3" t="s">
        <v>560</v>
      </c>
      <c r="F95" s="3" t="s">
        <v>571</v>
      </c>
      <c r="G95" s="3" t="s">
        <v>574</v>
      </c>
      <c r="H95">
        <v>2</v>
      </c>
      <c r="I95" s="5">
        <v>23377.75</v>
      </c>
      <c r="J95">
        <v>0.05</v>
      </c>
      <c r="K95" s="5">
        <v>44417.72</v>
      </c>
      <c r="L95" s="5">
        <v>34779.07</v>
      </c>
      <c r="M95" s="5">
        <v>9638.65</v>
      </c>
      <c r="N95">
        <f>YEAR(CleanedSalesData[[#This Row],[OrderDate]])</f>
        <v>2024</v>
      </c>
      <c r="O95">
        <f>MONTH(CleanedSalesData[[#This Row],[OrderDate]])</f>
        <v>11</v>
      </c>
      <c r="P95" t="str">
        <f>TEXT(CleanedSalesData[[#This Row],[OrderDate]], "yyyy-mm")</f>
        <v>2024-11</v>
      </c>
    </row>
    <row r="96" spans="1:16" x14ac:dyDescent="0.3">
      <c r="A96" s="3" t="s">
        <v>110</v>
      </c>
      <c r="B96" s="4">
        <v>45469</v>
      </c>
      <c r="C96" s="3" t="s">
        <v>517</v>
      </c>
      <c r="D96" s="3" t="s">
        <v>536</v>
      </c>
      <c r="E96" s="3" t="s">
        <v>560</v>
      </c>
      <c r="F96" s="3" t="s">
        <v>571</v>
      </c>
      <c r="G96" s="3" t="s">
        <v>576</v>
      </c>
      <c r="H96">
        <v>1</v>
      </c>
      <c r="I96" s="5">
        <v>37688.79</v>
      </c>
      <c r="J96">
        <v>0</v>
      </c>
      <c r="K96" s="5">
        <v>37688.79</v>
      </c>
      <c r="L96" s="5">
        <v>33053.07</v>
      </c>
      <c r="M96" s="5">
        <v>4635.72</v>
      </c>
      <c r="N96">
        <f>YEAR(CleanedSalesData[[#This Row],[OrderDate]])</f>
        <v>2024</v>
      </c>
      <c r="O96">
        <f>MONTH(CleanedSalesData[[#This Row],[OrderDate]])</f>
        <v>6</v>
      </c>
      <c r="P96" t="str">
        <f>TEXT(CleanedSalesData[[#This Row],[OrderDate]], "yyyy-mm")</f>
        <v>2024-06</v>
      </c>
    </row>
    <row r="97" spans="1:16" x14ac:dyDescent="0.3">
      <c r="A97" s="3" t="s">
        <v>111</v>
      </c>
      <c r="B97" s="4">
        <v>45590</v>
      </c>
      <c r="C97" s="3" t="s">
        <v>516</v>
      </c>
      <c r="D97" s="3" t="s">
        <v>527</v>
      </c>
      <c r="E97" s="3" t="s">
        <v>558</v>
      </c>
      <c r="F97" s="3" t="s">
        <v>573</v>
      </c>
      <c r="G97" s="3" t="s">
        <v>580</v>
      </c>
      <c r="H97">
        <v>1</v>
      </c>
      <c r="I97" s="5">
        <v>18168.71</v>
      </c>
      <c r="J97">
        <v>0</v>
      </c>
      <c r="K97" s="5">
        <v>18168.71</v>
      </c>
      <c r="L97" s="5">
        <v>12372.89</v>
      </c>
      <c r="M97" s="5">
        <v>5795.82</v>
      </c>
      <c r="N97">
        <f>YEAR(CleanedSalesData[[#This Row],[OrderDate]])</f>
        <v>2024</v>
      </c>
      <c r="O97">
        <f>MONTH(CleanedSalesData[[#This Row],[OrderDate]])</f>
        <v>10</v>
      </c>
      <c r="P97" t="str">
        <f>TEXT(CleanedSalesData[[#This Row],[OrderDate]], "yyyy-mm")</f>
        <v>2024-10</v>
      </c>
    </row>
    <row r="98" spans="1:16" x14ac:dyDescent="0.3">
      <c r="A98" s="3" t="s">
        <v>112</v>
      </c>
      <c r="B98" s="4">
        <v>45531</v>
      </c>
      <c r="C98" s="3" t="s">
        <v>520</v>
      </c>
      <c r="D98" s="3" t="s">
        <v>528</v>
      </c>
      <c r="E98" s="3" t="s">
        <v>552</v>
      </c>
      <c r="F98" s="3" t="s">
        <v>571</v>
      </c>
      <c r="G98" s="3" t="s">
        <v>579</v>
      </c>
      <c r="H98">
        <v>3</v>
      </c>
      <c r="I98" s="5">
        <v>20310.330000000002</v>
      </c>
      <c r="J98">
        <v>0.1</v>
      </c>
      <c r="K98" s="5">
        <v>54837.89</v>
      </c>
      <c r="L98" s="5">
        <v>41676.800000000003</v>
      </c>
      <c r="M98" s="5">
        <v>13161.09</v>
      </c>
      <c r="N98">
        <f>YEAR(CleanedSalesData[[#This Row],[OrderDate]])</f>
        <v>2024</v>
      </c>
      <c r="O98">
        <f>MONTH(CleanedSalesData[[#This Row],[OrderDate]])</f>
        <v>8</v>
      </c>
      <c r="P98" t="str">
        <f>TEXT(CleanedSalesData[[#This Row],[OrderDate]], "yyyy-mm")</f>
        <v>2024-08</v>
      </c>
    </row>
    <row r="99" spans="1:16" x14ac:dyDescent="0.3">
      <c r="A99" s="3" t="s">
        <v>113</v>
      </c>
      <c r="B99" s="4">
        <v>45437</v>
      </c>
      <c r="C99" s="3" t="s">
        <v>516</v>
      </c>
      <c r="D99" s="3" t="s">
        <v>525</v>
      </c>
      <c r="E99" s="3" t="s">
        <v>557</v>
      </c>
      <c r="F99" s="3" t="s">
        <v>572</v>
      </c>
      <c r="G99" s="3" t="s">
        <v>587</v>
      </c>
      <c r="H99">
        <v>1</v>
      </c>
      <c r="I99" s="5">
        <v>1510.47</v>
      </c>
      <c r="J99">
        <v>0</v>
      </c>
      <c r="K99" s="5">
        <v>1510.47</v>
      </c>
      <c r="L99" s="5">
        <v>1276.3499999999999</v>
      </c>
      <c r="M99" s="5">
        <v>234.12</v>
      </c>
      <c r="N99">
        <f>YEAR(CleanedSalesData[[#This Row],[OrderDate]])</f>
        <v>2024</v>
      </c>
      <c r="O99">
        <f>MONTH(CleanedSalesData[[#This Row],[OrderDate]])</f>
        <v>5</v>
      </c>
      <c r="P99" t="str">
        <f>TEXT(CleanedSalesData[[#This Row],[OrderDate]], "yyyy-mm")</f>
        <v>2024-05</v>
      </c>
    </row>
    <row r="100" spans="1:16" x14ac:dyDescent="0.3">
      <c r="A100" s="3" t="s">
        <v>114</v>
      </c>
      <c r="B100" s="4">
        <v>45587</v>
      </c>
      <c r="C100" s="3" t="s">
        <v>519</v>
      </c>
      <c r="D100" s="3" t="s">
        <v>526</v>
      </c>
      <c r="E100" s="3" t="s">
        <v>543</v>
      </c>
      <c r="F100" s="3" t="s">
        <v>573</v>
      </c>
      <c r="G100" s="3" t="s">
        <v>580</v>
      </c>
      <c r="H100">
        <v>2</v>
      </c>
      <c r="I100" s="5">
        <v>18093.87</v>
      </c>
      <c r="J100">
        <v>0</v>
      </c>
      <c r="K100" s="5">
        <v>36187.74</v>
      </c>
      <c r="L100" s="5">
        <v>24643.85</v>
      </c>
      <c r="M100" s="5">
        <v>11543.89</v>
      </c>
      <c r="N100">
        <f>YEAR(CleanedSalesData[[#This Row],[OrderDate]])</f>
        <v>2024</v>
      </c>
      <c r="O100">
        <f>MONTH(CleanedSalesData[[#This Row],[OrderDate]])</f>
        <v>10</v>
      </c>
      <c r="P100" t="str">
        <f>TEXT(CleanedSalesData[[#This Row],[OrderDate]], "yyyy-mm")</f>
        <v>2024-10</v>
      </c>
    </row>
    <row r="101" spans="1:16" x14ac:dyDescent="0.3">
      <c r="A101" s="3" t="s">
        <v>115</v>
      </c>
      <c r="B101" s="4">
        <v>45804</v>
      </c>
      <c r="C101" s="3" t="s">
        <v>517</v>
      </c>
      <c r="D101" s="3" t="s">
        <v>530</v>
      </c>
      <c r="E101" s="3" t="s">
        <v>549</v>
      </c>
      <c r="F101" s="3" t="s">
        <v>571</v>
      </c>
      <c r="G101" s="3" t="s">
        <v>579</v>
      </c>
      <c r="H101">
        <v>3</v>
      </c>
      <c r="I101" s="5">
        <v>6069.28</v>
      </c>
      <c r="J101">
        <v>0</v>
      </c>
      <c r="K101" s="5">
        <v>18207.84</v>
      </c>
      <c r="L101" s="5">
        <v>13036.81</v>
      </c>
      <c r="M101" s="5">
        <v>5171.03</v>
      </c>
      <c r="N101">
        <f>YEAR(CleanedSalesData[[#This Row],[OrderDate]])</f>
        <v>2025</v>
      </c>
      <c r="O101">
        <f>MONTH(CleanedSalesData[[#This Row],[OrderDate]])</f>
        <v>5</v>
      </c>
      <c r="P101" t="str">
        <f>TEXT(CleanedSalesData[[#This Row],[OrderDate]], "yyyy-mm")</f>
        <v>2025-05</v>
      </c>
    </row>
    <row r="102" spans="1:16" x14ac:dyDescent="0.3">
      <c r="A102" s="3" t="s">
        <v>116</v>
      </c>
      <c r="B102" s="4">
        <v>45622</v>
      </c>
      <c r="C102" s="3" t="s">
        <v>517</v>
      </c>
      <c r="D102" s="3" t="s">
        <v>531</v>
      </c>
      <c r="E102" s="3" t="s">
        <v>551</v>
      </c>
      <c r="F102" s="3" t="s">
        <v>571</v>
      </c>
      <c r="G102" s="3" t="s">
        <v>574</v>
      </c>
      <c r="H102">
        <v>1</v>
      </c>
      <c r="I102" s="5">
        <v>77067.149999999994</v>
      </c>
      <c r="J102">
        <v>0</v>
      </c>
      <c r="K102" s="5">
        <v>77067.149999999994</v>
      </c>
      <c r="L102" s="5">
        <v>71287.11</v>
      </c>
      <c r="M102" s="5">
        <v>5780.04</v>
      </c>
      <c r="N102">
        <f>YEAR(CleanedSalesData[[#This Row],[OrderDate]])</f>
        <v>2024</v>
      </c>
      <c r="O102">
        <f>MONTH(CleanedSalesData[[#This Row],[OrderDate]])</f>
        <v>11</v>
      </c>
      <c r="P102" t="str">
        <f>TEXT(CleanedSalesData[[#This Row],[OrderDate]], "yyyy-mm")</f>
        <v>2024-11</v>
      </c>
    </row>
    <row r="103" spans="1:16" x14ac:dyDescent="0.3">
      <c r="A103" s="3" t="s">
        <v>117</v>
      </c>
      <c r="B103" s="4">
        <v>45881</v>
      </c>
      <c r="C103" s="3" t="s">
        <v>517</v>
      </c>
      <c r="D103" s="3" t="s">
        <v>536</v>
      </c>
      <c r="E103" s="3" t="s">
        <v>560</v>
      </c>
      <c r="F103" s="3" t="s">
        <v>573</v>
      </c>
      <c r="G103" s="3" t="s">
        <v>582</v>
      </c>
      <c r="H103">
        <v>1</v>
      </c>
      <c r="I103" s="5">
        <v>19551.509999999998</v>
      </c>
      <c r="J103">
        <v>0.15</v>
      </c>
      <c r="K103" s="5">
        <v>16618.78</v>
      </c>
      <c r="L103" s="5">
        <v>11300.77</v>
      </c>
      <c r="M103" s="5">
        <v>5318.01</v>
      </c>
      <c r="N103">
        <f>YEAR(CleanedSalesData[[#This Row],[OrderDate]])</f>
        <v>2025</v>
      </c>
      <c r="O103">
        <f>MONTH(CleanedSalesData[[#This Row],[OrderDate]])</f>
        <v>8</v>
      </c>
      <c r="P103" t="str">
        <f>TEXT(CleanedSalesData[[#This Row],[OrderDate]], "yyyy-mm")</f>
        <v>2025-08</v>
      </c>
    </row>
    <row r="104" spans="1:16" x14ac:dyDescent="0.3">
      <c r="A104" s="3" t="s">
        <v>118</v>
      </c>
      <c r="B104" s="4">
        <v>45744</v>
      </c>
      <c r="C104" s="3" t="s">
        <v>520</v>
      </c>
      <c r="D104" s="3" t="s">
        <v>528</v>
      </c>
      <c r="E104" s="3" t="s">
        <v>552</v>
      </c>
      <c r="F104" s="3" t="s">
        <v>573</v>
      </c>
      <c r="G104" s="3" t="s">
        <v>581</v>
      </c>
      <c r="H104">
        <v>1</v>
      </c>
      <c r="I104" s="5">
        <v>24288.27</v>
      </c>
      <c r="J104">
        <v>0</v>
      </c>
      <c r="K104" s="5">
        <v>24288.27</v>
      </c>
      <c r="L104" s="5">
        <v>23000.99</v>
      </c>
      <c r="M104" s="5">
        <v>1287.28</v>
      </c>
      <c r="N104">
        <f>YEAR(CleanedSalesData[[#This Row],[OrderDate]])</f>
        <v>2025</v>
      </c>
      <c r="O104">
        <f>MONTH(CleanedSalesData[[#This Row],[OrderDate]])</f>
        <v>3</v>
      </c>
      <c r="P104" t="str">
        <f>TEXT(CleanedSalesData[[#This Row],[OrderDate]], "yyyy-mm")</f>
        <v>2025-03</v>
      </c>
    </row>
    <row r="105" spans="1:16" x14ac:dyDescent="0.3">
      <c r="A105" s="3" t="s">
        <v>119</v>
      </c>
      <c r="B105" s="4">
        <v>45710</v>
      </c>
      <c r="C105" s="3" t="s">
        <v>520</v>
      </c>
      <c r="D105" s="3" t="s">
        <v>535</v>
      </c>
      <c r="E105" s="3" t="s">
        <v>565</v>
      </c>
      <c r="F105" s="3" t="s">
        <v>571</v>
      </c>
      <c r="G105" s="3" t="s">
        <v>578</v>
      </c>
      <c r="H105">
        <v>1</v>
      </c>
      <c r="I105" s="5">
        <v>34696.67</v>
      </c>
      <c r="J105">
        <v>0</v>
      </c>
      <c r="K105" s="5">
        <v>34696.67</v>
      </c>
      <c r="L105" s="5">
        <v>26057.200000000001</v>
      </c>
      <c r="M105" s="5">
        <v>8639.4699999999993</v>
      </c>
      <c r="N105">
        <f>YEAR(CleanedSalesData[[#This Row],[OrderDate]])</f>
        <v>2025</v>
      </c>
      <c r="O105">
        <f>MONTH(CleanedSalesData[[#This Row],[OrderDate]])</f>
        <v>2</v>
      </c>
      <c r="P105" t="str">
        <f>TEXT(CleanedSalesData[[#This Row],[OrderDate]], "yyyy-mm")</f>
        <v>2025-02</v>
      </c>
    </row>
    <row r="106" spans="1:16" x14ac:dyDescent="0.3">
      <c r="A106" s="3" t="s">
        <v>120</v>
      </c>
      <c r="B106" s="4">
        <v>45702</v>
      </c>
      <c r="C106" s="3" t="s">
        <v>517</v>
      </c>
      <c r="D106" s="3" t="s">
        <v>536</v>
      </c>
      <c r="E106" s="3" t="s">
        <v>560</v>
      </c>
      <c r="F106" s="3" t="s">
        <v>571</v>
      </c>
      <c r="G106" s="3" t="s">
        <v>578</v>
      </c>
      <c r="H106">
        <v>1</v>
      </c>
      <c r="I106" s="5">
        <v>22434.71</v>
      </c>
      <c r="J106">
        <v>0.1</v>
      </c>
      <c r="K106" s="5">
        <v>20191.240000000002</v>
      </c>
      <c r="L106" s="5">
        <v>18212.5</v>
      </c>
      <c r="M106" s="5">
        <v>1978.74</v>
      </c>
      <c r="N106">
        <f>YEAR(CleanedSalesData[[#This Row],[OrderDate]])</f>
        <v>2025</v>
      </c>
      <c r="O106">
        <f>MONTH(CleanedSalesData[[#This Row],[OrderDate]])</f>
        <v>2</v>
      </c>
      <c r="P106" t="str">
        <f>TEXT(CleanedSalesData[[#This Row],[OrderDate]], "yyyy-mm")</f>
        <v>2025-02</v>
      </c>
    </row>
    <row r="107" spans="1:16" x14ac:dyDescent="0.3">
      <c r="A107" s="3" t="s">
        <v>121</v>
      </c>
      <c r="B107" s="4">
        <v>45818</v>
      </c>
      <c r="C107" s="3" t="s">
        <v>516</v>
      </c>
      <c r="D107" s="3" t="s">
        <v>522</v>
      </c>
      <c r="E107" s="3" t="s">
        <v>545</v>
      </c>
      <c r="F107" s="3" t="s">
        <v>571</v>
      </c>
      <c r="G107" s="3" t="s">
        <v>574</v>
      </c>
      <c r="H107">
        <v>1</v>
      </c>
      <c r="I107" s="5">
        <v>42919.83</v>
      </c>
      <c r="J107">
        <v>0</v>
      </c>
      <c r="K107" s="5">
        <v>42919.83</v>
      </c>
      <c r="L107" s="5">
        <v>31846.51</v>
      </c>
      <c r="M107" s="5">
        <v>11073.32</v>
      </c>
      <c r="N107">
        <f>YEAR(CleanedSalesData[[#This Row],[OrderDate]])</f>
        <v>2025</v>
      </c>
      <c r="O107">
        <f>MONTH(CleanedSalesData[[#This Row],[OrderDate]])</f>
        <v>6</v>
      </c>
      <c r="P107" t="str">
        <f>TEXT(CleanedSalesData[[#This Row],[OrderDate]], "yyyy-mm")</f>
        <v>2025-06</v>
      </c>
    </row>
    <row r="108" spans="1:16" x14ac:dyDescent="0.3">
      <c r="A108" s="3" t="s">
        <v>122</v>
      </c>
      <c r="B108" s="4">
        <v>45802</v>
      </c>
      <c r="C108" s="3" t="s">
        <v>519</v>
      </c>
      <c r="D108" s="3" t="s">
        <v>526</v>
      </c>
      <c r="E108" s="3" t="s">
        <v>562</v>
      </c>
      <c r="F108" s="3" t="s">
        <v>572</v>
      </c>
      <c r="G108" s="3" t="s">
        <v>587</v>
      </c>
      <c r="H108">
        <v>2</v>
      </c>
      <c r="I108" s="5">
        <v>305.48</v>
      </c>
      <c r="J108">
        <v>0</v>
      </c>
      <c r="K108" s="5">
        <v>610.96</v>
      </c>
      <c r="L108" s="5">
        <v>539.48</v>
      </c>
      <c r="M108" s="5">
        <v>71.48</v>
      </c>
      <c r="N108">
        <f>YEAR(CleanedSalesData[[#This Row],[OrderDate]])</f>
        <v>2025</v>
      </c>
      <c r="O108">
        <f>MONTH(CleanedSalesData[[#This Row],[OrderDate]])</f>
        <v>5</v>
      </c>
      <c r="P108" t="str">
        <f>TEXT(CleanedSalesData[[#This Row],[OrderDate]], "yyyy-mm")</f>
        <v>2025-05</v>
      </c>
    </row>
    <row r="109" spans="1:16" x14ac:dyDescent="0.3">
      <c r="A109" s="3" t="s">
        <v>123</v>
      </c>
      <c r="B109" s="4">
        <v>45788</v>
      </c>
      <c r="C109" s="3" t="s">
        <v>516</v>
      </c>
      <c r="D109" s="3" t="s">
        <v>525</v>
      </c>
      <c r="E109" s="3" t="s">
        <v>557</v>
      </c>
      <c r="F109" s="3" t="s">
        <v>573</v>
      </c>
      <c r="G109" s="3" t="s">
        <v>585</v>
      </c>
      <c r="H109">
        <v>2</v>
      </c>
      <c r="I109" s="5">
        <v>9147.25</v>
      </c>
      <c r="J109">
        <v>0.1</v>
      </c>
      <c r="K109" s="5">
        <v>16465.05</v>
      </c>
      <c r="L109" s="5">
        <v>14472.78</v>
      </c>
      <c r="M109" s="5">
        <v>1992.27</v>
      </c>
      <c r="N109">
        <f>YEAR(CleanedSalesData[[#This Row],[OrderDate]])</f>
        <v>2025</v>
      </c>
      <c r="O109">
        <f>MONTH(CleanedSalesData[[#This Row],[OrderDate]])</f>
        <v>5</v>
      </c>
      <c r="P109" t="str">
        <f>TEXT(CleanedSalesData[[#This Row],[OrderDate]], "yyyy-mm")</f>
        <v>2025-05</v>
      </c>
    </row>
    <row r="110" spans="1:16" x14ac:dyDescent="0.3">
      <c r="A110" s="3" t="s">
        <v>124</v>
      </c>
      <c r="B110" s="4">
        <v>45387</v>
      </c>
      <c r="C110" s="3" t="s">
        <v>518</v>
      </c>
      <c r="D110" s="3" t="s">
        <v>537</v>
      </c>
      <c r="E110" s="3" t="s">
        <v>569</v>
      </c>
      <c r="F110" s="3" t="s">
        <v>571</v>
      </c>
      <c r="G110" s="3" t="s">
        <v>574</v>
      </c>
      <c r="H110">
        <v>1</v>
      </c>
      <c r="I110" s="5">
        <v>41374.910000000003</v>
      </c>
      <c r="J110">
        <v>0</v>
      </c>
      <c r="K110" s="5">
        <v>41374.910000000003</v>
      </c>
      <c r="L110" s="5">
        <v>30038.18</v>
      </c>
      <c r="M110" s="5">
        <v>11336.73</v>
      </c>
      <c r="N110">
        <f>YEAR(CleanedSalesData[[#This Row],[OrderDate]])</f>
        <v>2024</v>
      </c>
      <c r="O110">
        <f>MONTH(CleanedSalesData[[#This Row],[OrderDate]])</f>
        <v>4</v>
      </c>
      <c r="P110" t="str">
        <f>TEXT(CleanedSalesData[[#This Row],[OrderDate]], "yyyy-mm")</f>
        <v>2024-04</v>
      </c>
    </row>
    <row r="111" spans="1:16" x14ac:dyDescent="0.3">
      <c r="A111" s="3" t="s">
        <v>125</v>
      </c>
      <c r="B111" s="4">
        <v>45813</v>
      </c>
      <c r="C111" s="3" t="s">
        <v>520</v>
      </c>
      <c r="D111" s="3" t="s">
        <v>535</v>
      </c>
      <c r="E111" s="3" t="s">
        <v>559</v>
      </c>
      <c r="F111" s="3" t="s">
        <v>572</v>
      </c>
      <c r="G111" s="3" t="s">
        <v>583</v>
      </c>
      <c r="H111">
        <v>1</v>
      </c>
      <c r="I111" s="5">
        <v>940.73</v>
      </c>
      <c r="J111">
        <v>0.05</v>
      </c>
      <c r="K111" s="5">
        <v>893.69</v>
      </c>
      <c r="L111" s="5">
        <v>621.11</v>
      </c>
      <c r="M111" s="5">
        <v>272.58</v>
      </c>
      <c r="N111">
        <f>YEAR(CleanedSalesData[[#This Row],[OrderDate]])</f>
        <v>2025</v>
      </c>
      <c r="O111">
        <f>MONTH(CleanedSalesData[[#This Row],[OrderDate]])</f>
        <v>6</v>
      </c>
      <c r="P111" t="str">
        <f>TEXT(CleanedSalesData[[#This Row],[OrderDate]], "yyyy-mm")</f>
        <v>2025-06</v>
      </c>
    </row>
    <row r="112" spans="1:16" x14ac:dyDescent="0.3">
      <c r="A112" s="3" t="s">
        <v>126</v>
      </c>
      <c r="B112" s="4">
        <v>45812</v>
      </c>
      <c r="C112" s="3" t="s">
        <v>518</v>
      </c>
      <c r="D112" s="3" t="s">
        <v>537</v>
      </c>
      <c r="E112" s="3" t="s">
        <v>569</v>
      </c>
      <c r="F112" s="3" t="s">
        <v>572</v>
      </c>
      <c r="G112" s="3" t="s">
        <v>577</v>
      </c>
      <c r="H112">
        <v>2</v>
      </c>
      <c r="I112" s="5">
        <v>1871.78</v>
      </c>
      <c r="J112">
        <v>0</v>
      </c>
      <c r="K112" s="5">
        <v>3743.56</v>
      </c>
      <c r="L112" s="5">
        <v>2919.98</v>
      </c>
      <c r="M112" s="5">
        <v>823.58</v>
      </c>
      <c r="N112">
        <f>YEAR(CleanedSalesData[[#This Row],[OrderDate]])</f>
        <v>2025</v>
      </c>
      <c r="O112">
        <f>MONTH(CleanedSalesData[[#This Row],[OrderDate]])</f>
        <v>6</v>
      </c>
      <c r="P112" t="str">
        <f>TEXT(CleanedSalesData[[#This Row],[OrderDate]], "yyyy-mm")</f>
        <v>2025-06</v>
      </c>
    </row>
    <row r="113" spans="1:16" x14ac:dyDescent="0.3">
      <c r="A113" s="3" t="s">
        <v>127</v>
      </c>
      <c r="B113" s="4">
        <v>45294</v>
      </c>
      <c r="C113" s="3" t="s">
        <v>520</v>
      </c>
      <c r="D113" s="3" t="s">
        <v>535</v>
      </c>
      <c r="E113" s="3" t="s">
        <v>559</v>
      </c>
      <c r="F113" s="3" t="s">
        <v>571</v>
      </c>
      <c r="G113" s="3" t="s">
        <v>576</v>
      </c>
      <c r="H113">
        <v>1</v>
      </c>
      <c r="I113" s="5">
        <v>44470.7</v>
      </c>
      <c r="J113">
        <v>0</v>
      </c>
      <c r="K113" s="5">
        <v>44470.7</v>
      </c>
      <c r="L113" s="5">
        <v>37355.39</v>
      </c>
      <c r="M113" s="5">
        <v>7115.31</v>
      </c>
      <c r="N113">
        <f>YEAR(CleanedSalesData[[#This Row],[OrderDate]])</f>
        <v>2024</v>
      </c>
      <c r="O113">
        <f>MONTH(CleanedSalesData[[#This Row],[OrderDate]])</f>
        <v>1</v>
      </c>
      <c r="P113" t="str">
        <f>TEXT(CleanedSalesData[[#This Row],[OrderDate]], "yyyy-mm")</f>
        <v>2024-01</v>
      </c>
    </row>
    <row r="114" spans="1:16" x14ac:dyDescent="0.3">
      <c r="A114" s="3" t="s">
        <v>128</v>
      </c>
      <c r="B114" s="4">
        <v>45857</v>
      </c>
      <c r="C114" s="3" t="s">
        <v>517</v>
      </c>
      <c r="D114" s="3" t="s">
        <v>530</v>
      </c>
      <c r="E114" s="3" t="s">
        <v>549</v>
      </c>
      <c r="F114" s="3" t="s">
        <v>572</v>
      </c>
      <c r="G114" s="3" t="s">
        <v>583</v>
      </c>
      <c r="H114">
        <v>1</v>
      </c>
      <c r="I114" s="5">
        <v>1962.51</v>
      </c>
      <c r="J114">
        <v>0</v>
      </c>
      <c r="K114" s="5">
        <v>1962.51</v>
      </c>
      <c r="L114" s="5">
        <v>1721.12</v>
      </c>
      <c r="M114" s="5">
        <v>241.39</v>
      </c>
      <c r="N114">
        <f>YEAR(CleanedSalesData[[#This Row],[OrderDate]])</f>
        <v>2025</v>
      </c>
      <c r="O114">
        <f>MONTH(CleanedSalesData[[#This Row],[OrderDate]])</f>
        <v>7</v>
      </c>
      <c r="P114" t="str">
        <f>TEXT(CleanedSalesData[[#This Row],[OrderDate]], "yyyy-mm")</f>
        <v>2025-07</v>
      </c>
    </row>
    <row r="115" spans="1:16" x14ac:dyDescent="0.3">
      <c r="A115" s="3" t="s">
        <v>129</v>
      </c>
      <c r="B115" s="4">
        <v>45684</v>
      </c>
      <c r="C115" s="3" t="s">
        <v>518</v>
      </c>
      <c r="D115" s="3" t="s">
        <v>529</v>
      </c>
      <c r="E115" s="3" t="s">
        <v>548</v>
      </c>
      <c r="F115" s="3" t="s">
        <v>572</v>
      </c>
      <c r="G115" s="3" t="s">
        <v>586</v>
      </c>
      <c r="H115">
        <v>5</v>
      </c>
      <c r="I115" s="5">
        <v>1425.19</v>
      </c>
      <c r="J115">
        <v>0</v>
      </c>
      <c r="K115" s="5">
        <v>7125.95</v>
      </c>
      <c r="L115" s="5">
        <v>5928.79</v>
      </c>
      <c r="M115" s="5">
        <v>1197.1600000000001</v>
      </c>
      <c r="N115">
        <f>YEAR(CleanedSalesData[[#This Row],[OrderDate]])</f>
        <v>2025</v>
      </c>
      <c r="O115">
        <f>MONTH(CleanedSalesData[[#This Row],[OrderDate]])</f>
        <v>1</v>
      </c>
      <c r="P115" t="str">
        <f>TEXT(CleanedSalesData[[#This Row],[OrderDate]], "yyyy-mm")</f>
        <v>2025-01</v>
      </c>
    </row>
    <row r="116" spans="1:16" x14ac:dyDescent="0.3">
      <c r="A116" s="3" t="s">
        <v>130</v>
      </c>
      <c r="B116" s="4">
        <v>45687</v>
      </c>
      <c r="C116" s="3" t="s">
        <v>518</v>
      </c>
      <c r="D116" s="3" t="s">
        <v>529</v>
      </c>
      <c r="E116" s="3" t="s">
        <v>548</v>
      </c>
      <c r="F116" s="3" t="s">
        <v>571</v>
      </c>
      <c r="G116" s="3" t="s">
        <v>579</v>
      </c>
      <c r="H116">
        <v>3</v>
      </c>
      <c r="I116" s="5">
        <v>77332.23</v>
      </c>
      <c r="J116">
        <v>0</v>
      </c>
      <c r="K116" s="5">
        <v>231996.69</v>
      </c>
      <c r="L116" s="5">
        <v>176549.48</v>
      </c>
      <c r="M116" s="5">
        <v>55447.21</v>
      </c>
      <c r="N116">
        <f>YEAR(CleanedSalesData[[#This Row],[OrderDate]])</f>
        <v>2025</v>
      </c>
      <c r="O116">
        <f>MONTH(CleanedSalesData[[#This Row],[OrderDate]])</f>
        <v>1</v>
      </c>
      <c r="P116" t="str">
        <f>TEXT(CleanedSalesData[[#This Row],[OrderDate]], "yyyy-mm")</f>
        <v>2025-01</v>
      </c>
    </row>
    <row r="117" spans="1:16" x14ac:dyDescent="0.3">
      <c r="A117" s="3" t="s">
        <v>131</v>
      </c>
      <c r="B117" s="4">
        <v>45394</v>
      </c>
      <c r="C117" s="3" t="s">
        <v>519</v>
      </c>
      <c r="D117" s="3" t="s">
        <v>526</v>
      </c>
      <c r="E117" s="3" t="s">
        <v>543</v>
      </c>
      <c r="F117" s="3" t="s">
        <v>571</v>
      </c>
      <c r="G117" s="3" t="s">
        <v>574</v>
      </c>
      <c r="H117">
        <v>2</v>
      </c>
      <c r="I117" s="5">
        <v>34568.35</v>
      </c>
      <c r="J117">
        <v>0</v>
      </c>
      <c r="K117" s="5">
        <v>69136.7</v>
      </c>
      <c r="L117" s="5">
        <v>55240.22</v>
      </c>
      <c r="M117" s="5">
        <v>13896.48</v>
      </c>
      <c r="N117">
        <f>YEAR(CleanedSalesData[[#This Row],[OrderDate]])</f>
        <v>2024</v>
      </c>
      <c r="O117">
        <f>MONTH(CleanedSalesData[[#This Row],[OrderDate]])</f>
        <v>4</v>
      </c>
      <c r="P117" t="str">
        <f>TEXT(CleanedSalesData[[#This Row],[OrderDate]], "yyyy-mm")</f>
        <v>2024-04</v>
      </c>
    </row>
    <row r="118" spans="1:16" x14ac:dyDescent="0.3">
      <c r="A118" s="3" t="s">
        <v>132</v>
      </c>
      <c r="B118" s="4">
        <v>45450</v>
      </c>
      <c r="C118" s="3" t="s">
        <v>516</v>
      </c>
      <c r="D118" s="3" t="s">
        <v>522</v>
      </c>
      <c r="E118" s="3" t="s">
        <v>545</v>
      </c>
      <c r="F118" s="3" t="s">
        <v>572</v>
      </c>
      <c r="G118" s="3" t="s">
        <v>587</v>
      </c>
      <c r="H118">
        <v>1</v>
      </c>
      <c r="I118" s="5">
        <v>1400.77</v>
      </c>
      <c r="J118">
        <v>0</v>
      </c>
      <c r="K118" s="5">
        <v>1400.77</v>
      </c>
      <c r="L118" s="5">
        <v>1123.42</v>
      </c>
      <c r="M118" s="5">
        <v>277.35000000000002</v>
      </c>
      <c r="N118">
        <f>YEAR(CleanedSalesData[[#This Row],[OrderDate]])</f>
        <v>2024</v>
      </c>
      <c r="O118">
        <f>MONTH(CleanedSalesData[[#This Row],[OrderDate]])</f>
        <v>6</v>
      </c>
      <c r="P118" t="str">
        <f>TEXT(CleanedSalesData[[#This Row],[OrderDate]], "yyyy-mm")</f>
        <v>2024-06</v>
      </c>
    </row>
    <row r="119" spans="1:16" x14ac:dyDescent="0.3">
      <c r="A119" s="3" t="s">
        <v>133</v>
      </c>
      <c r="B119" s="4">
        <v>45628</v>
      </c>
      <c r="C119" s="3" t="s">
        <v>517</v>
      </c>
      <c r="D119" s="3" t="s">
        <v>530</v>
      </c>
      <c r="E119" s="3" t="s">
        <v>549</v>
      </c>
      <c r="F119" s="3" t="s">
        <v>573</v>
      </c>
      <c r="G119" s="3" t="s">
        <v>581</v>
      </c>
      <c r="H119">
        <v>1</v>
      </c>
      <c r="I119" s="5">
        <v>22064.81</v>
      </c>
      <c r="J119">
        <v>0.05</v>
      </c>
      <c r="K119" s="5">
        <v>20961.57</v>
      </c>
      <c r="L119" s="5">
        <v>15364.83</v>
      </c>
      <c r="M119" s="5">
        <v>5596.74</v>
      </c>
      <c r="N119">
        <f>YEAR(CleanedSalesData[[#This Row],[OrderDate]])</f>
        <v>2024</v>
      </c>
      <c r="O119">
        <f>MONTH(CleanedSalesData[[#This Row],[OrderDate]])</f>
        <v>12</v>
      </c>
      <c r="P119" t="str">
        <f>TEXT(CleanedSalesData[[#This Row],[OrderDate]], "yyyy-mm")</f>
        <v>2024-12</v>
      </c>
    </row>
    <row r="120" spans="1:16" x14ac:dyDescent="0.3">
      <c r="A120" s="3" t="s">
        <v>134</v>
      </c>
      <c r="B120" s="4">
        <v>45532</v>
      </c>
      <c r="C120" s="3" t="s">
        <v>520</v>
      </c>
      <c r="D120" s="3" t="s">
        <v>528</v>
      </c>
      <c r="E120" s="3" t="s">
        <v>547</v>
      </c>
      <c r="F120" s="3" t="s">
        <v>572</v>
      </c>
      <c r="G120" s="3" t="s">
        <v>588</v>
      </c>
      <c r="H120">
        <v>1</v>
      </c>
      <c r="I120" s="5">
        <v>1532.72</v>
      </c>
      <c r="J120">
        <v>0</v>
      </c>
      <c r="K120" s="5">
        <v>1532.72</v>
      </c>
      <c r="L120" s="5">
        <v>1445.35</v>
      </c>
      <c r="M120" s="5">
        <v>87.37</v>
      </c>
      <c r="N120">
        <f>YEAR(CleanedSalesData[[#This Row],[OrderDate]])</f>
        <v>2024</v>
      </c>
      <c r="O120">
        <f>MONTH(CleanedSalesData[[#This Row],[OrderDate]])</f>
        <v>8</v>
      </c>
      <c r="P120" t="str">
        <f>TEXT(CleanedSalesData[[#This Row],[OrderDate]], "yyyy-mm")</f>
        <v>2024-08</v>
      </c>
    </row>
    <row r="121" spans="1:16" x14ac:dyDescent="0.3">
      <c r="A121" s="3" t="s">
        <v>135</v>
      </c>
      <c r="B121" s="4">
        <v>45394</v>
      </c>
      <c r="C121" s="3" t="s">
        <v>519</v>
      </c>
      <c r="D121" s="3" t="s">
        <v>533</v>
      </c>
      <c r="E121" s="3" t="s">
        <v>555</v>
      </c>
      <c r="F121" s="3" t="s">
        <v>571</v>
      </c>
      <c r="G121" s="3" t="s">
        <v>575</v>
      </c>
      <c r="H121">
        <v>1</v>
      </c>
      <c r="I121" s="5">
        <v>27976.85</v>
      </c>
      <c r="J121">
        <v>0.1</v>
      </c>
      <c r="K121" s="5">
        <v>25179.17</v>
      </c>
      <c r="L121" s="5">
        <v>22585.72</v>
      </c>
      <c r="M121" s="5">
        <v>2593.4499999999998</v>
      </c>
      <c r="N121">
        <f>YEAR(CleanedSalesData[[#This Row],[OrderDate]])</f>
        <v>2024</v>
      </c>
      <c r="O121">
        <f>MONTH(CleanedSalesData[[#This Row],[OrderDate]])</f>
        <v>4</v>
      </c>
      <c r="P121" t="str">
        <f>TEXT(CleanedSalesData[[#This Row],[OrderDate]], "yyyy-mm")</f>
        <v>2024-04</v>
      </c>
    </row>
    <row r="122" spans="1:16" x14ac:dyDescent="0.3">
      <c r="A122" s="3" t="s">
        <v>136</v>
      </c>
      <c r="B122" s="4">
        <v>45675</v>
      </c>
      <c r="C122" s="3" t="s">
        <v>519</v>
      </c>
      <c r="D122" s="3" t="s">
        <v>533</v>
      </c>
      <c r="E122" s="3" t="s">
        <v>570</v>
      </c>
      <c r="F122" s="3" t="s">
        <v>573</v>
      </c>
      <c r="G122" s="3" t="s">
        <v>581</v>
      </c>
      <c r="H122">
        <v>4</v>
      </c>
      <c r="I122" s="5">
        <v>15016.35</v>
      </c>
      <c r="J122">
        <v>0</v>
      </c>
      <c r="K122" s="5">
        <v>60065.4</v>
      </c>
      <c r="L122" s="5">
        <v>39883.43</v>
      </c>
      <c r="M122" s="5">
        <v>20181.97</v>
      </c>
      <c r="N122">
        <f>YEAR(CleanedSalesData[[#This Row],[OrderDate]])</f>
        <v>2025</v>
      </c>
      <c r="O122">
        <f>MONTH(CleanedSalesData[[#This Row],[OrderDate]])</f>
        <v>1</v>
      </c>
      <c r="P122" t="str">
        <f>TEXT(CleanedSalesData[[#This Row],[OrderDate]], "yyyy-mm")</f>
        <v>2025-01</v>
      </c>
    </row>
    <row r="123" spans="1:16" x14ac:dyDescent="0.3">
      <c r="A123" s="3" t="s">
        <v>137</v>
      </c>
      <c r="B123" s="4">
        <v>45466</v>
      </c>
      <c r="C123" s="3" t="s">
        <v>518</v>
      </c>
      <c r="D123" s="3" t="s">
        <v>537</v>
      </c>
      <c r="E123" s="3" t="s">
        <v>569</v>
      </c>
      <c r="F123" s="3" t="s">
        <v>573</v>
      </c>
      <c r="G123" s="3" t="s">
        <v>585</v>
      </c>
      <c r="H123">
        <v>3</v>
      </c>
      <c r="I123" s="5">
        <v>13446.35</v>
      </c>
      <c r="J123">
        <v>0</v>
      </c>
      <c r="K123" s="5">
        <v>40339.050000000003</v>
      </c>
      <c r="L123" s="5">
        <v>33844.46</v>
      </c>
      <c r="M123" s="5">
        <v>6494.59</v>
      </c>
      <c r="N123">
        <f>YEAR(CleanedSalesData[[#This Row],[OrderDate]])</f>
        <v>2024</v>
      </c>
      <c r="O123">
        <f>MONTH(CleanedSalesData[[#This Row],[OrderDate]])</f>
        <v>6</v>
      </c>
      <c r="P123" t="str">
        <f>TEXT(CleanedSalesData[[#This Row],[OrderDate]], "yyyy-mm")</f>
        <v>2024-06</v>
      </c>
    </row>
    <row r="124" spans="1:16" x14ac:dyDescent="0.3">
      <c r="A124" s="3" t="s">
        <v>138</v>
      </c>
      <c r="B124" s="4">
        <v>45529</v>
      </c>
      <c r="C124" s="3" t="s">
        <v>519</v>
      </c>
      <c r="D124" s="3" t="s">
        <v>532</v>
      </c>
      <c r="E124" s="3" t="s">
        <v>554</v>
      </c>
      <c r="F124" s="3" t="s">
        <v>572</v>
      </c>
      <c r="G124" s="3" t="s">
        <v>588</v>
      </c>
      <c r="H124">
        <v>1</v>
      </c>
      <c r="I124" s="5">
        <v>1802.87</v>
      </c>
      <c r="J124">
        <v>0</v>
      </c>
      <c r="K124" s="5">
        <v>1802.87</v>
      </c>
      <c r="L124" s="5">
        <v>1211.53</v>
      </c>
      <c r="M124" s="5">
        <v>591.34</v>
      </c>
      <c r="N124">
        <f>YEAR(CleanedSalesData[[#This Row],[OrderDate]])</f>
        <v>2024</v>
      </c>
      <c r="O124">
        <f>MONTH(CleanedSalesData[[#This Row],[OrderDate]])</f>
        <v>8</v>
      </c>
      <c r="P124" t="str">
        <f>TEXT(CleanedSalesData[[#This Row],[OrderDate]], "yyyy-mm")</f>
        <v>2024-08</v>
      </c>
    </row>
    <row r="125" spans="1:16" x14ac:dyDescent="0.3">
      <c r="A125" s="3" t="s">
        <v>139</v>
      </c>
      <c r="B125" s="4">
        <v>45586</v>
      </c>
      <c r="C125" s="3" t="s">
        <v>517</v>
      </c>
      <c r="D125" s="3" t="s">
        <v>523</v>
      </c>
      <c r="E125" s="3" t="s">
        <v>544</v>
      </c>
      <c r="F125" s="3" t="s">
        <v>572</v>
      </c>
      <c r="G125" s="3" t="s">
        <v>577</v>
      </c>
      <c r="H125">
        <v>1</v>
      </c>
      <c r="I125" s="5">
        <v>1975.92</v>
      </c>
      <c r="J125">
        <v>0</v>
      </c>
      <c r="K125" s="5">
        <v>1975.92</v>
      </c>
      <c r="L125" s="5">
        <v>1304.1099999999999</v>
      </c>
      <c r="M125" s="5">
        <v>671.81</v>
      </c>
      <c r="N125">
        <f>YEAR(CleanedSalesData[[#This Row],[OrderDate]])</f>
        <v>2024</v>
      </c>
      <c r="O125">
        <f>MONTH(CleanedSalesData[[#This Row],[OrderDate]])</f>
        <v>10</v>
      </c>
      <c r="P125" t="str">
        <f>TEXT(CleanedSalesData[[#This Row],[OrderDate]], "yyyy-mm")</f>
        <v>2024-10</v>
      </c>
    </row>
    <row r="126" spans="1:16" x14ac:dyDescent="0.3">
      <c r="A126" s="3" t="s">
        <v>140</v>
      </c>
      <c r="B126" s="4">
        <v>45726</v>
      </c>
      <c r="C126" s="3" t="s">
        <v>520</v>
      </c>
      <c r="D126" s="3" t="s">
        <v>535</v>
      </c>
      <c r="E126" s="3" t="s">
        <v>559</v>
      </c>
      <c r="F126" s="3" t="s">
        <v>571</v>
      </c>
      <c r="G126" s="3" t="s">
        <v>576</v>
      </c>
      <c r="H126">
        <v>4</v>
      </c>
      <c r="I126" s="5">
        <v>68706.83</v>
      </c>
      <c r="J126">
        <v>0.1</v>
      </c>
      <c r="K126" s="5">
        <v>247344.59</v>
      </c>
      <c r="L126" s="5">
        <v>171657.15</v>
      </c>
      <c r="M126" s="5">
        <v>75687.44</v>
      </c>
      <c r="N126">
        <f>YEAR(CleanedSalesData[[#This Row],[OrderDate]])</f>
        <v>2025</v>
      </c>
      <c r="O126">
        <f>MONTH(CleanedSalesData[[#This Row],[OrderDate]])</f>
        <v>3</v>
      </c>
      <c r="P126" t="str">
        <f>TEXT(CleanedSalesData[[#This Row],[OrderDate]], "yyyy-mm")</f>
        <v>2025-03</v>
      </c>
    </row>
    <row r="127" spans="1:16" x14ac:dyDescent="0.3">
      <c r="A127" s="3" t="s">
        <v>141</v>
      </c>
      <c r="B127" s="4">
        <v>45877</v>
      </c>
      <c r="C127" s="3" t="s">
        <v>520</v>
      </c>
      <c r="D127" s="3" t="s">
        <v>535</v>
      </c>
      <c r="E127" s="3" t="s">
        <v>559</v>
      </c>
      <c r="F127" s="3" t="s">
        <v>571</v>
      </c>
      <c r="G127" s="3" t="s">
        <v>576</v>
      </c>
      <c r="H127">
        <v>1</v>
      </c>
      <c r="I127" s="5">
        <v>24134.99</v>
      </c>
      <c r="J127">
        <v>0</v>
      </c>
      <c r="K127" s="5">
        <v>24134.99</v>
      </c>
      <c r="L127" s="5">
        <v>20128.580000000002</v>
      </c>
      <c r="M127" s="5">
        <v>4006.41</v>
      </c>
      <c r="N127">
        <f>YEAR(CleanedSalesData[[#This Row],[OrderDate]])</f>
        <v>2025</v>
      </c>
      <c r="O127">
        <f>MONTH(CleanedSalesData[[#This Row],[OrderDate]])</f>
        <v>8</v>
      </c>
      <c r="P127" t="str">
        <f>TEXT(CleanedSalesData[[#This Row],[OrderDate]], "yyyy-mm")</f>
        <v>2025-08</v>
      </c>
    </row>
    <row r="128" spans="1:16" x14ac:dyDescent="0.3">
      <c r="A128" s="3" t="s">
        <v>142</v>
      </c>
      <c r="B128" s="4">
        <v>45342</v>
      </c>
      <c r="C128" s="3" t="s">
        <v>517</v>
      </c>
      <c r="D128" s="3" t="s">
        <v>530</v>
      </c>
      <c r="E128" s="3" t="s">
        <v>549</v>
      </c>
      <c r="F128" s="3" t="s">
        <v>571</v>
      </c>
      <c r="G128" s="3" t="s">
        <v>579</v>
      </c>
      <c r="H128">
        <v>3</v>
      </c>
      <c r="I128" s="5">
        <v>64748.76</v>
      </c>
      <c r="J128">
        <v>0</v>
      </c>
      <c r="K128" s="5">
        <v>194246.28</v>
      </c>
      <c r="L128" s="5">
        <v>166080.57</v>
      </c>
      <c r="M128" s="5">
        <v>28165.71</v>
      </c>
      <c r="N128">
        <f>YEAR(CleanedSalesData[[#This Row],[OrderDate]])</f>
        <v>2024</v>
      </c>
      <c r="O128">
        <f>MONTH(CleanedSalesData[[#This Row],[OrderDate]])</f>
        <v>2</v>
      </c>
      <c r="P128" t="str">
        <f>TEXT(CleanedSalesData[[#This Row],[OrderDate]], "yyyy-mm")</f>
        <v>2024-02</v>
      </c>
    </row>
    <row r="129" spans="1:16" x14ac:dyDescent="0.3">
      <c r="A129" s="3" t="s">
        <v>143</v>
      </c>
      <c r="B129" s="4">
        <v>45486</v>
      </c>
      <c r="C129" s="3" t="s">
        <v>517</v>
      </c>
      <c r="D129" s="3" t="s">
        <v>531</v>
      </c>
      <c r="E129" s="3" t="s">
        <v>551</v>
      </c>
      <c r="F129" s="3" t="s">
        <v>573</v>
      </c>
      <c r="G129" s="3" t="s">
        <v>582</v>
      </c>
      <c r="H129">
        <v>1</v>
      </c>
      <c r="I129" s="5">
        <v>22778.29</v>
      </c>
      <c r="J129">
        <v>0</v>
      </c>
      <c r="K129" s="5">
        <v>22778.29</v>
      </c>
      <c r="L129" s="5">
        <v>17835.400000000001</v>
      </c>
      <c r="M129" s="5">
        <v>4942.8900000000003</v>
      </c>
      <c r="N129">
        <f>YEAR(CleanedSalesData[[#This Row],[OrderDate]])</f>
        <v>2024</v>
      </c>
      <c r="O129">
        <f>MONTH(CleanedSalesData[[#This Row],[OrderDate]])</f>
        <v>7</v>
      </c>
      <c r="P129" t="str">
        <f>TEXT(CleanedSalesData[[#This Row],[OrderDate]], "yyyy-mm")</f>
        <v>2024-07</v>
      </c>
    </row>
    <row r="130" spans="1:16" x14ac:dyDescent="0.3">
      <c r="A130" s="3" t="s">
        <v>144</v>
      </c>
      <c r="B130" s="4">
        <v>45608</v>
      </c>
      <c r="C130" s="3" t="s">
        <v>519</v>
      </c>
      <c r="D130" s="3" t="s">
        <v>526</v>
      </c>
      <c r="E130" s="3" t="s">
        <v>543</v>
      </c>
      <c r="F130" s="3" t="s">
        <v>573</v>
      </c>
      <c r="G130" s="3" t="s">
        <v>585</v>
      </c>
      <c r="H130">
        <v>4</v>
      </c>
      <c r="I130" s="5">
        <v>4073.07</v>
      </c>
      <c r="J130">
        <v>0</v>
      </c>
      <c r="K130" s="5">
        <v>16292.28</v>
      </c>
      <c r="L130" s="5">
        <v>12072.58</v>
      </c>
      <c r="M130" s="5">
        <v>4219.7</v>
      </c>
      <c r="N130">
        <f>YEAR(CleanedSalesData[[#This Row],[OrderDate]])</f>
        <v>2024</v>
      </c>
      <c r="O130">
        <f>MONTH(CleanedSalesData[[#This Row],[OrderDate]])</f>
        <v>11</v>
      </c>
      <c r="P130" t="str">
        <f>TEXT(CleanedSalesData[[#This Row],[OrderDate]], "yyyy-mm")</f>
        <v>2024-11</v>
      </c>
    </row>
    <row r="131" spans="1:16" x14ac:dyDescent="0.3">
      <c r="A131" s="3" t="s">
        <v>145</v>
      </c>
      <c r="B131" s="4">
        <v>45717</v>
      </c>
      <c r="C131" s="3" t="s">
        <v>518</v>
      </c>
      <c r="D131" s="3" t="s">
        <v>537</v>
      </c>
      <c r="E131" s="3" t="s">
        <v>561</v>
      </c>
      <c r="F131" s="3" t="s">
        <v>573</v>
      </c>
      <c r="G131" s="3" t="s">
        <v>580</v>
      </c>
      <c r="H131">
        <v>1</v>
      </c>
      <c r="I131" s="5">
        <v>14209.6</v>
      </c>
      <c r="J131">
        <v>0</v>
      </c>
      <c r="K131" s="5">
        <v>14209.6</v>
      </c>
      <c r="L131" s="5">
        <v>13087.04</v>
      </c>
      <c r="M131" s="5">
        <v>1122.56</v>
      </c>
      <c r="N131">
        <f>YEAR(CleanedSalesData[[#This Row],[OrderDate]])</f>
        <v>2025</v>
      </c>
      <c r="O131">
        <f>MONTH(CleanedSalesData[[#This Row],[OrderDate]])</f>
        <v>3</v>
      </c>
      <c r="P131" t="str">
        <f>TEXT(CleanedSalesData[[#This Row],[OrderDate]], "yyyy-mm")</f>
        <v>2025-03</v>
      </c>
    </row>
    <row r="132" spans="1:16" x14ac:dyDescent="0.3">
      <c r="A132" s="3" t="s">
        <v>146</v>
      </c>
      <c r="B132" s="4">
        <v>45460</v>
      </c>
      <c r="C132" s="3" t="s">
        <v>520</v>
      </c>
      <c r="D132" s="3" t="s">
        <v>535</v>
      </c>
      <c r="E132" s="3" t="s">
        <v>559</v>
      </c>
      <c r="F132" s="3" t="s">
        <v>573</v>
      </c>
      <c r="G132" s="3" t="s">
        <v>580</v>
      </c>
      <c r="H132">
        <v>1</v>
      </c>
      <c r="I132" s="5">
        <v>20497.349999999999</v>
      </c>
      <c r="J132">
        <v>0</v>
      </c>
      <c r="K132" s="5">
        <v>20497.349999999999</v>
      </c>
      <c r="L132" s="5">
        <v>13384.77</v>
      </c>
      <c r="M132" s="5">
        <v>7112.58</v>
      </c>
      <c r="N132">
        <f>YEAR(CleanedSalesData[[#This Row],[OrderDate]])</f>
        <v>2024</v>
      </c>
      <c r="O132">
        <f>MONTH(CleanedSalesData[[#This Row],[OrderDate]])</f>
        <v>6</v>
      </c>
      <c r="P132" t="str">
        <f>TEXT(CleanedSalesData[[#This Row],[OrderDate]], "yyyy-mm")</f>
        <v>2024-06</v>
      </c>
    </row>
    <row r="133" spans="1:16" x14ac:dyDescent="0.3">
      <c r="A133" s="3" t="s">
        <v>147</v>
      </c>
      <c r="B133" s="4">
        <v>45369</v>
      </c>
      <c r="C133" s="3" t="s">
        <v>518</v>
      </c>
      <c r="D133" s="3" t="s">
        <v>537</v>
      </c>
      <c r="E133" s="3" t="s">
        <v>569</v>
      </c>
      <c r="F133" s="3" t="s">
        <v>573</v>
      </c>
      <c r="G133" s="3" t="s">
        <v>580</v>
      </c>
      <c r="H133">
        <v>1</v>
      </c>
      <c r="I133" s="5">
        <v>4076.97</v>
      </c>
      <c r="J133">
        <v>0</v>
      </c>
      <c r="K133" s="5">
        <v>4076.97</v>
      </c>
      <c r="L133" s="5">
        <v>3241.19</v>
      </c>
      <c r="M133" s="5">
        <v>835.78</v>
      </c>
      <c r="N133">
        <f>YEAR(CleanedSalesData[[#This Row],[OrderDate]])</f>
        <v>2024</v>
      </c>
      <c r="O133">
        <f>MONTH(CleanedSalesData[[#This Row],[OrderDate]])</f>
        <v>3</v>
      </c>
      <c r="P133" t="str">
        <f>TEXT(CleanedSalesData[[#This Row],[OrderDate]], "yyyy-mm")</f>
        <v>2024-03</v>
      </c>
    </row>
    <row r="134" spans="1:16" x14ac:dyDescent="0.3">
      <c r="A134" s="3" t="s">
        <v>148</v>
      </c>
      <c r="B134" s="4">
        <v>45562</v>
      </c>
      <c r="C134" s="3" t="s">
        <v>517</v>
      </c>
      <c r="D134" s="3" t="s">
        <v>536</v>
      </c>
      <c r="E134" s="3" t="s">
        <v>560</v>
      </c>
      <c r="F134" s="3" t="s">
        <v>572</v>
      </c>
      <c r="G134" s="3" t="s">
        <v>577</v>
      </c>
      <c r="H134">
        <v>3</v>
      </c>
      <c r="I134" s="5">
        <v>1189.8900000000001</v>
      </c>
      <c r="J134">
        <v>0</v>
      </c>
      <c r="K134" s="5">
        <v>3569.67</v>
      </c>
      <c r="L134" s="5">
        <v>2598.7199999999998</v>
      </c>
      <c r="M134" s="5">
        <v>970.95</v>
      </c>
      <c r="N134">
        <f>YEAR(CleanedSalesData[[#This Row],[OrderDate]])</f>
        <v>2024</v>
      </c>
      <c r="O134">
        <f>MONTH(CleanedSalesData[[#This Row],[OrderDate]])</f>
        <v>9</v>
      </c>
      <c r="P134" t="str">
        <f>TEXT(CleanedSalesData[[#This Row],[OrderDate]], "yyyy-mm")</f>
        <v>2024-09</v>
      </c>
    </row>
    <row r="135" spans="1:16" x14ac:dyDescent="0.3">
      <c r="A135" s="3" t="s">
        <v>149</v>
      </c>
      <c r="B135" s="4">
        <v>45672</v>
      </c>
      <c r="C135" s="3" t="s">
        <v>516</v>
      </c>
      <c r="D135" s="3" t="s">
        <v>527</v>
      </c>
      <c r="E135" s="3" t="s">
        <v>558</v>
      </c>
      <c r="F135" s="3" t="s">
        <v>571</v>
      </c>
      <c r="G135" s="3" t="s">
        <v>579</v>
      </c>
      <c r="H135">
        <v>2</v>
      </c>
      <c r="I135" s="5">
        <v>71086.080000000002</v>
      </c>
      <c r="J135">
        <v>0</v>
      </c>
      <c r="K135" s="5">
        <v>142172.16</v>
      </c>
      <c r="L135" s="5">
        <v>105065.23</v>
      </c>
      <c r="M135" s="5">
        <v>37106.93</v>
      </c>
      <c r="N135">
        <f>YEAR(CleanedSalesData[[#This Row],[OrderDate]])</f>
        <v>2025</v>
      </c>
      <c r="O135">
        <f>MONTH(CleanedSalesData[[#This Row],[OrderDate]])</f>
        <v>1</v>
      </c>
      <c r="P135" t="str">
        <f>TEXT(CleanedSalesData[[#This Row],[OrderDate]], "yyyy-mm")</f>
        <v>2025-01</v>
      </c>
    </row>
    <row r="136" spans="1:16" x14ac:dyDescent="0.3">
      <c r="A136" s="3" t="s">
        <v>150</v>
      </c>
      <c r="B136" s="4">
        <v>45518</v>
      </c>
      <c r="C136" s="3" t="s">
        <v>516</v>
      </c>
      <c r="D136" s="3" t="s">
        <v>522</v>
      </c>
      <c r="E136" s="3" t="s">
        <v>545</v>
      </c>
      <c r="F136" s="3" t="s">
        <v>573</v>
      </c>
      <c r="G136" s="3" t="s">
        <v>581</v>
      </c>
      <c r="H136">
        <v>1</v>
      </c>
      <c r="I136" s="5">
        <v>4683.55</v>
      </c>
      <c r="J136">
        <v>0.05</v>
      </c>
      <c r="K136" s="5">
        <v>4449.37</v>
      </c>
      <c r="L136" s="5">
        <v>3835.36</v>
      </c>
      <c r="M136" s="5">
        <v>614.01</v>
      </c>
      <c r="N136">
        <f>YEAR(CleanedSalesData[[#This Row],[OrderDate]])</f>
        <v>2024</v>
      </c>
      <c r="O136">
        <f>MONTH(CleanedSalesData[[#This Row],[OrderDate]])</f>
        <v>8</v>
      </c>
      <c r="P136" t="str">
        <f>TEXT(CleanedSalesData[[#This Row],[OrderDate]], "yyyy-mm")</f>
        <v>2024-08</v>
      </c>
    </row>
    <row r="137" spans="1:16" x14ac:dyDescent="0.3">
      <c r="A137" s="3" t="s">
        <v>151</v>
      </c>
      <c r="B137" s="4">
        <v>45603</v>
      </c>
      <c r="C137" s="3" t="s">
        <v>519</v>
      </c>
      <c r="D137" s="3" t="s">
        <v>526</v>
      </c>
      <c r="E137" s="3" t="s">
        <v>562</v>
      </c>
      <c r="F137" s="3" t="s">
        <v>571</v>
      </c>
      <c r="G137" s="3" t="s">
        <v>579</v>
      </c>
      <c r="H137">
        <v>2</v>
      </c>
      <c r="I137" s="5">
        <v>13446.13</v>
      </c>
      <c r="J137">
        <v>0</v>
      </c>
      <c r="K137" s="5">
        <v>26892.26</v>
      </c>
      <c r="L137" s="5">
        <v>19012.830000000002</v>
      </c>
      <c r="M137" s="5">
        <v>7879.43</v>
      </c>
      <c r="N137">
        <f>YEAR(CleanedSalesData[[#This Row],[OrderDate]])</f>
        <v>2024</v>
      </c>
      <c r="O137">
        <f>MONTH(CleanedSalesData[[#This Row],[OrderDate]])</f>
        <v>11</v>
      </c>
      <c r="P137" t="str">
        <f>TEXT(CleanedSalesData[[#This Row],[OrderDate]], "yyyy-mm")</f>
        <v>2024-11</v>
      </c>
    </row>
    <row r="138" spans="1:16" x14ac:dyDescent="0.3">
      <c r="A138" s="3" t="s">
        <v>152</v>
      </c>
      <c r="B138" s="4">
        <v>45845</v>
      </c>
      <c r="C138" s="3" t="s">
        <v>519</v>
      </c>
      <c r="D138" s="3" t="s">
        <v>533</v>
      </c>
      <c r="E138" s="3" t="s">
        <v>555</v>
      </c>
      <c r="F138" s="3" t="s">
        <v>573</v>
      </c>
      <c r="G138" s="3" t="s">
        <v>582</v>
      </c>
      <c r="H138">
        <v>3</v>
      </c>
      <c r="I138" s="5">
        <v>21174.94</v>
      </c>
      <c r="J138">
        <v>0</v>
      </c>
      <c r="K138" s="5">
        <v>63524.82</v>
      </c>
      <c r="L138" s="5">
        <v>42942.78</v>
      </c>
      <c r="M138" s="5">
        <v>20582.04</v>
      </c>
      <c r="N138">
        <f>YEAR(CleanedSalesData[[#This Row],[OrderDate]])</f>
        <v>2025</v>
      </c>
      <c r="O138">
        <f>MONTH(CleanedSalesData[[#This Row],[OrderDate]])</f>
        <v>7</v>
      </c>
      <c r="P138" t="str">
        <f>TEXT(CleanedSalesData[[#This Row],[OrderDate]], "yyyy-mm")</f>
        <v>2025-07</v>
      </c>
    </row>
    <row r="139" spans="1:16" x14ac:dyDescent="0.3">
      <c r="A139" s="3" t="s">
        <v>153</v>
      </c>
      <c r="B139" s="4">
        <v>45578</v>
      </c>
      <c r="C139" s="3" t="s">
        <v>516</v>
      </c>
      <c r="D139" s="3" t="s">
        <v>521</v>
      </c>
      <c r="E139" s="3" t="s">
        <v>538</v>
      </c>
      <c r="F139" s="3" t="s">
        <v>572</v>
      </c>
      <c r="G139" s="3" t="s">
        <v>586</v>
      </c>
      <c r="H139">
        <v>1</v>
      </c>
      <c r="I139" s="5">
        <v>1903.58</v>
      </c>
      <c r="J139">
        <v>0</v>
      </c>
      <c r="K139" s="5">
        <v>1903.58</v>
      </c>
      <c r="L139" s="5">
        <v>1522.86</v>
      </c>
      <c r="M139" s="5">
        <v>380.72</v>
      </c>
      <c r="N139">
        <f>YEAR(CleanedSalesData[[#This Row],[OrderDate]])</f>
        <v>2024</v>
      </c>
      <c r="O139">
        <f>MONTH(CleanedSalesData[[#This Row],[OrderDate]])</f>
        <v>10</v>
      </c>
      <c r="P139" t="str">
        <f>TEXT(CleanedSalesData[[#This Row],[OrderDate]], "yyyy-mm")</f>
        <v>2024-10</v>
      </c>
    </row>
    <row r="140" spans="1:16" x14ac:dyDescent="0.3">
      <c r="A140" s="3" t="s">
        <v>154</v>
      </c>
      <c r="B140" s="4">
        <v>45393</v>
      </c>
      <c r="C140" s="3" t="s">
        <v>520</v>
      </c>
      <c r="D140" s="3" t="s">
        <v>535</v>
      </c>
      <c r="E140" s="3" t="s">
        <v>565</v>
      </c>
      <c r="F140" s="3" t="s">
        <v>572</v>
      </c>
      <c r="G140" s="3" t="s">
        <v>577</v>
      </c>
      <c r="H140">
        <v>2</v>
      </c>
      <c r="I140" s="5">
        <v>420.13</v>
      </c>
      <c r="J140">
        <v>0.1</v>
      </c>
      <c r="K140" s="5">
        <v>756.23</v>
      </c>
      <c r="L140" s="5">
        <v>570.95000000000005</v>
      </c>
      <c r="M140" s="5">
        <v>185.28</v>
      </c>
      <c r="N140">
        <f>YEAR(CleanedSalesData[[#This Row],[OrderDate]])</f>
        <v>2024</v>
      </c>
      <c r="O140">
        <f>MONTH(CleanedSalesData[[#This Row],[OrderDate]])</f>
        <v>4</v>
      </c>
      <c r="P140" t="str">
        <f>TEXT(CleanedSalesData[[#This Row],[OrderDate]], "yyyy-mm")</f>
        <v>2024-04</v>
      </c>
    </row>
    <row r="141" spans="1:16" x14ac:dyDescent="0.3">
      <c r="A141" s="3" t="s">
        <v>155</v>
      </c>
      <c r="B141" s="4">
        <v>45385</v>
      </c>
      <c r="C141" s="3" t="s">
        <v>518</v>
      </c>
      <c r="D141" s="3" t="s">
        <v>524</v>
      </c>
      <c r="E141" s="3" t="s">
        <v>550</v>
      </c>
      <c r="F141" s="3" t="s">
        <v>571</v>
      </c>
      <c r="G141" s="3" t="s">
        <v>578</v>
      </c>
      <c r="H141">
        <v>2</v>
      </c>
      <c r="I141" s="5">
        <v>21754.81</v>
      </c>
      <c r="J141">
        <v>0.15</v>
      </c>
      <c r="K141" s="5">
        <v>36983.18</v>
      </c>
      <c r="L141" s="5">
        <v>26295.040000000001</v>
      </c>
      <c r="M141" s="5">
        <v>10688.14</v>
      </c>
      <c r="N141">
        <f>YEAR(CleanedSalesData[[#This Row],[OrderDate]])</f>
        <v>2024</v>
      </c>
      <c r="O141">
        <f>MONTH(CleanedSalesData[[#This Row],[OrderDate]])</f>
        <v>4</v>
      </c>
      <c r="P141" t="str">
        <f>TEXT(CleanedSalesData[[#This Row],[OrderDate]], "yyyy-mm")</f>
        <v>2024-04</v>
      </c>
    </row>
    <row r="142" spans="1:16" x14ac:dyDescent="0.3">
      <c r="A142" s="3" t="s">
        <v>156</v>
      </c>
      <c r="B142" s="4">
        <v>45502</v>
      </c>
      <c r="C142" s="3" t="s">
        <v>516</v>
      </c>
      <c r="D142" s="3" t="s">
        <v>527</v>
      </c>
      <c r="E142" s="3" t="s">
        <v>546</v>
      </c>
      <c r="F142" s="3" t="s">
        <v>571</v>
      </c>
      <c r="G142" s="3" t="s">
        <v>578</v>
      </c>
      <c r="H142">
        <v>3</v>
      </c>
      <c r="I142" s="5">
        <v>62626.38</v>
      </c>
      <c r="J142">
        <v>0</v>
      </c>
      <c r="K142" s="5">
        <v>187879.14</v>
      </c>
      <c r="L142" s="5">
        <v>159509.39000000001</v>
      </c>
      <c r="M142" s="5">
        <v>28369.75</v>
      </c>
      <c r="N142">
        <f>YEAR(CleanedSalesData[[#This Row],[OrderDate]])</f>
        <v>2024</v>
      </c>
      <c r="O142">
        <f>MONTH(CleanedSalesData[[#This Row],[OrderDate]])</f>
        <v>7</v>
      </c>
      <c r="P142" t="str">
        <f>TEXT(CleanedSalesData[[#This Row],[OrderDate]], "yyyy-mm")</f>
        <v>2024-07</v>
      </c>
    </row>
    <row r="143" spans="1:16" x14ac:dyDescent="0.3">
      <c r="A143" s="3" t="s">
        <v>157</v>
      </c>
      <c r="B143" s="4">
        <v>45294</v>
      </c>
      <c r="C143" s="3" t="s">
        <v>520</v>
      </c>
      <c r="D143" s="3" t="s">
        <v>528</v>
      </c>
      <c r="E143" s="3" t="s">
        <v>547</v>
      </c>
      <c r="F143" s="3" t="s">
        <v>573</v>
      </c>
      <c r="G143" s="3" t="s">
        <v>580</v>
      </c>
      <c r="H143">
        <v>1</v>
      </c>
      <c r="I143" s="5">
        <v>20365.82</v>
      </c>
      <c r="J143">
        <v>0.05</v>
      </c>
      <c r="K143" s="5">
        <v>19347.53</v>
      </c>
      <c r="L143" s="5">
        <v>17838.419999999998</v>
      </c>
      <c r="M143" s="5">
        <v>1509.11</v>
      </c>
      <c r="N143">
        <f>YEAR(CleanedSalesData[[#This Row],[OrderDate]])</f>
        <v>2024</v>
      </c>
      <c r="O143">
        <f>MONTH(CleanedSalesData[[#This Row],[OrderDate]])</f>
        <v>1</v>
      </c>
      <c r="P143" t="str">
        <f>TEXT(CleanedSalesData[[#This Row],[OrderDate]], "yyyy-mm")</f>
        <v>2024-01</v>
      </c>
    </row>
    <row r="144" spans="1:16" x14ac:dyDescent="0.3">
      <c r="A144" s="3" t="s">
        <v>158</v>
      </c>
      <c r="B144" s="4">
        <v>45426</v>
      </c>
      <c r="C144" s="3" t="s">
        <v>516</v>
      </c>
      <c r="D144" s="3" t="s">
        <v>521</v>
      </c>
      <c r="E144" s="3" t="s">
        <v>538</v>
      </c>
      <c r="F144" s="3" t="s">
        <v>573</v>
      </c>
      <c r="G144" s="3" t="s">
        <v>580</v>
      </c>
      <c r="H144">
        <v>1</v>
      </c>
      <c r="I144" s="5">
        <v>2362.96</v>
      </c>
      <c r="J144">
        <v>0</v>
      </c>
      <c r="K144" s="5">
        <v>2362.96</v>
      </c>
      <c r="L144" s="5">
        <v>2218.8200000000002</v>
      </c>
      <c r="M144" s="5">
        <v>144.13999999999999</v>
      </c>
      <c r="N144">
        <f>YEAR(CleanedSalesData[[#This Row],[OrderDate]])</f>
        <v>2024</v>
      </c>
      <c r="O144">
        <f>MONTH(CleanedSalesData[[#This Row],[OrderDate]])</f>
        <v>5</v>
      </c>
      <c r="P144" t="str">
        <f>TEXT(CleanedSalesData[[#This Row],[OrderDate]], "yyyy-mm")</f>
        <v>2024-05</v>
      </c>
    </row>
    <row r="145" spans="1:16" x14ac:dyDescent="0.3">
      <c r="A145" s="3" t="s">
        <v>159</v>
      </c>
      <c r="B145" s="4">
        <v>45421</v>
      </c>
      <c r="C145" s="3" t="s">
        <v>519</v>
      </c>
      <c r="D145" s="3" t="s">
        <v>526</v>
      </c>
      <c r="E145" s="3" t="s">
        <v>562</v>
      </c>
      <c r="F145" s="3" t="s">
        <v>572</v>
      </c>
      <c r="G145" s="3" t="s">
        <v>586</v>
      </c>
      <c r="H145">
        <v>1</v>
      </c>
      <c r="I145" s="5">
        <v>1567.13</v>
      </c>
      <c r="J145">
        <v>0</v>
      </c>
      <c r="K145" s="5">
        <v>1567.13</v>
      </c>
      <c r="L145" s="5">
        <v>1233.33</v>
      </c>
      <c r="M145" s="5">
        <v>333.8</v>
      </c>
      <c r="N145">
        <f>YEAR(CleanedSalesData[[#This Row],[OrderDate]])</f>
        <v>2024</v>
      </c>
      <c r="O145">
        <f>MONTH(CleanedSalesData[[#This Row],[OrderDate]])</f>
        <v>5</v>
      </c>
      <c r="P145" t="str">
        <f>TEXT(CleanedSalesData[[#This Row],[OrderDate]], "yyyy-mm")</f>
        <v>2024-05</v>
      </c>
    </row>
    <row r="146" spans="1:16" x14ac:dyDescent="0.3">
      <c r="A146" s="3" t="s">
        <v>160</v>
      </c>
      <c r="B146" s="4">
        <v>45403</v>
      </c>
      <c r="C146" s="3" t="s">
        <v>519</v>
      </c>
      <c r="D146" s="3" t="s">
        <v>533</v>
      </c>
      <c r="E146" s="3" t="s">
        <v>570</v>
      </c>
      <c r="F146" s="3" t="s">
        <v>573</v>
      </c>
      <c r="G146" s="3" t="s">
        <v>584</v>
      </c>
      <c r="H146">
        <v>1</v>
      </c>
      <c r="I146" s="5">
        <v>8937.5</v>
      </c>
      <c r="J146">
        <v>0</v>
      </c>
      <c r="K146" s="5">
        <v>8937.5</v>
      </c>
      <c r="L146" s="5">
        <v>6908.69</v>
      </c>
      <c r="M146" s="5">
        <v>2028.81</v>
      </c>
      <c r="N146">
        <f>YEAR(CleanedSalesData[[#This Row],[OrderDate]])</f>
        <v>2024</v>
      </c>
      <c r="O146">
        <f>MONTH(CleanedSalesData[[#This Row],[OrderDate]])</f>
        <v>4</v>
      </c>
      <c r="P146" t="str">
        <f>TEXT(CleanedSalesData[[#This Row],[OrderDate]], "yyyy-mm")</f>
        <v>2024-04</v>
      </c>
    </row>
    <row r="147" spans="1:16" x14ac:dyDescent="0.3">
      <c r="A147" s="3" t="s">
        <v>161</v>
      </c>
      <c r="B147" s="4">
        <v>45323</v>
      </c>
      <c r="C147" s="3" t="s">
        <v>516</v>
      </c>
      <c r="D147" s="3" t="s">
        <v>522</v>
      </c>
      <c r="E147" s="3" t="s">
        <v>545</v>
      </c>
      <c r="F147" s="3" t="s">
        <v>572</v>
      </c>
      <c r="G147" s="3" t="s">
        <v>588</v>
      </c>
      <c r="H147">
        <v>1</v>
      </c>
      <c r="I147" s="5">
        <v>1006.02</v>
      </c>
      <c r="J147">
        <v>0</v>
      </c>
      <c r="K147" s="5">
        <v>1006.02</v>
      </c>
      <c r="L147" s="5">
        <v>944.65</v>
      </c>
      <c r="M147" s="5">
        <v>61.37</v>
      </c>
      <c r="N147">
        <f>YEAR(CleanedSalesData[[#This Row],[OrderDate]])</f>
        <v>2024</v>
      </c>
      <c r="O147">
        <f>MONTH(CleanedSalesData[[#This Row],[OrderDate]])</f>
        <v>2</v>
      </c>
      <c r="P147" t="str">
        <f>TEXT(CleanedSalesData[[#This Row],[OrderDate]], "yyyy-mm")</f>
        <v>2024-02</v>
      </c>
    </row>
    <row r="148" spans="1:16" x14ac:dyDescent="0.3">
      <c r="A148" s="3" t="s">
        <v>162</v>
      </c>
      <c r="B148" s="4">
        <v>45367</v>
      </c>
      <c r="C148" s="3" t="s">
        <v>516</v>
      </c>
      <c r="D148" s="3" t="s">
        <v>521</v>
      </c>
      <c r="E148" s="3" t="s">
        <v>538</v>
      </c>
      <c r="F148" s="3" t="s">
        <v>571</v>
      </c>
      <c r="G148" s="3" t="s">
        <v>574</v>
      </c>
      <c r="H148">
        <v>2</v>
      </c>
      <c r="I148" s="5">
        <v>24176.23</v>
      </c>
      <c r="J148">
        <v>0</v>
      </c>
      <c r="K148" s="5">
        <v>48352.46</v>
      </c>
      <c r="L148" s="5">
        <v>40712.769999999997</v>
      </c>
      <c r="M148" s="5">
        <v>7639.69</v>
      </c>
      <c r="N148">
        <f>YEAR(CleanedSalesData[[#This Row],[OrderDate]])</f>
        <v>2024</v>
      </c>
      <c r="O148">
        <f>MONTH(CleanedSalesData[[#This Row],[OrderDate]])</f>
        <v>3</v>
      </c>
      <c r="P148" t="str">
        <f>TEXT(CleanedSalesData[[#This Row],[OrderDate]], "yyyy-mm")</f>
        <v>2024-03</v>
      </c>
    </row>
    <row r="149" spans="1:16" x14ac:dyDescent="0.3">
      <c r="A149" s="3" t="s">
        <v>163</v>
      </c>
      <c r="B149" s="4">
        <v>45853</v>
      </c>
      <c r="C149" s="3" t="s">
        <v>520</v>
      </c>
      <c r="D149" s="3" t="s">
        <v>535</v>
      </c>
      <c r="E149" s="3" t="s">
        <v>559</v>
      </c>
      <c r="F149" s="3" t="s">
        <v>572</v>
      </c>
      <c r="G149" s="3" t="s">
        <v>587</v>
      </c>
      <c r="H149">
        <v>1</v>
      </c>
      <c r="I149" s="5">
        <v>1230.58</v>
      </c>
      <c r="J149">
        <v>0.15</v>
      </c>
      <c r="K149" s="5">
        <v>1045.99</v>
      </c>
      <c r="L149" s="5">
        <v>829.47</v>
      </c>
      <c r="M149" s="5">
        <v>216.52</v>
      </c>
      <c r="N149">
        <f>YEAR(CleanedSalesData[[#This Row],[OrderDate]])</f>
        <v>2025</v>
      </c>
      <c r="O149">
        <f>MONTH(CleanedSalesData[[#This Row],[OrderDate]])</f>
        <v>7</v>
      </c>
      <c r="P149" t="str">
        <f>TEXT(CleanedSalesData[[#This Row],[OrderDate]], "yyyy-mm")</f>
        <v>2025-07</v>
      </c>
    </row>
    <row r="150" spans="1:16" x14ac:dyDescent="0.3">
      <c r="A150" s="3" t="s">
        <v>164</v>
      </c>
      <c r="B150" s="4">
        <v>45409</v>
      </c>
      <c r="C150" s="3" t="s">
        <v>517</v>
      </c>
      <c r="D150" s="3" t="s">
        <v>523</v>
      </c>
      <c r="E150" s="3" t="s">
        <v>540</v>
      </c>
      <c r="F150" s="3" t="s">
        <v>572</v>
      </c>
      <c r="G150" s="3" t="s">
        <v>583</v>
      </c>
      <c r="H150">
        <v>2</v>
      </c>
      <c r="I150" s="5">
        <v>856.94</v>
      </c>
      <c r="J150">
        <v>0</v>
      </c>
      <c r="K150" s="5">
        <v>1713.88</v>
      </c>
      <c r="L150" s="5">
        <v>1516.78</v>
      </c>
      <c r="M150" s="5">
        <v>197.1</v>
      </c>
      <c r="N150">
        <f>YEAR(CleanedSalesData[[#This Row],[OrderDate]])</f>
        <v>2024</v>
      </c>
      <c r="O150">
        <f>MONTH(CleanedSalesData[[#This Row],[OrderDate]])</f>
        <v>4</v>
      </c>
      <c r="P150" t="str">
        <f>TEXT(CleanedSalesData[[#This Row],[OrderDate]], "yyyy-mm")</f>
        <v>2024-04</v>
      </c>
    </row>
    <row r="151" spans="1:16" x14ac:dyDescent="0.3">
      <c r="A151" s="3" t="s">
        <v>165</v>
      </c>
      <c r="B151" s="4">
        <v>45700</v>
      </c>
      <c r="C151" s="3" t="s">
        <v>519</v>
      </c>
      <c r="D151" s="3" t="s">
        <v>526</v>
      </c>
      <c r="E151" s="3" t="s">
        <v>543</v>
      </c>
      <c r="F151" s="3" t="s">
        <v>572</v>
      </c>
      <c r="G151" s="3" t="s">
        <v>577</v>
      </c>
      <c r="H151">
        <v>1</v>
      </c>
      <c r="I151" s="5">
        <v>1346.96</v>
      </c>
      <c r="J151">
        <v>0</v>
      </c>
      <c r="K151" s="5">
        <v>1346.96</v>
      </c>
      <c r="L151" s="5">
        <v>1244.5899999999999</v>
      </c>
      <c r="M151" s="5">
        <v>102.37</v>
      </c>
      <c r="N151">
        <f>YEAR(CleanedSalesData[[#This Row],[OrderDate]])</f>
        <v>2025</v>
      </c>
      <c r="O151">
        <f>MONTH(CleanedSalesData[[#This Row],[OrderDate]])</f>
        <v>2</v>
      </c>
      <c r="P151" t="str">
        <f>TEXT(CleanedSalesData[[#This Row],[OrderDate]], "yyyy-mm")</f>
        <v>2025-02</v>
      </c>
    </row>
    <row r="152" spans="1:16" x14ac:dyDescent="0.3">
      <c r="A152" s="3" t="s">
        <v>166</v>
      </c>
      <c r="B152" s="4">
        <v>45448</v>
      </c>
      <c r="C152" s="3" t="s">
        <v>519</v>
      </c>
      <c r="D152" s="3" t="s">
        <v>526</v>
      </c>
      <c r="E152" s="3" t="s">
        <v>562</v>
      </c>
      <c r="F152" s="3" t="s">
        <v>571</v>
      </c>
      <c r="G152" s="3" t="s">
        <v>575</v>
      </c>
      <c r="H152">
        <v>1</v>
      </c>
      <c r="I152" s="5">
        <v>36254.49</v>
      </c>
      <c r="J152">
        <v>0</v>
      </c>
      <c r="K152" s="5">
        <v>36254.49</v>
      </c>
      <c r="L152" s="5">
        <v>28677.3</v>
      </c>
      <c r="M152" s="5">
        <v>7577.19</v>
      </c>
      <c r="N152">
        <f>YEAR(CleanedSalesData[[#This Row],[OrderDate]])</f>
        <v>2024</v>
      </c>
      <c r="O152">
        <f>MONTH(CleanedSalesData[[#This Row],[OrderDate]])</f>
        <v>6</v>
      </c>
      <c r="P152" t="str">
        <f>TEXT(CleanedSalesData[[#This Row],[OrderDate]], "yyyy-mm")</f>
        <v>2024-06</v>
      </c>
    </row>
    <row r="153" spans="1:16" x14ac:dyDescent="0.3">
      <c r="A153" s="3" t="s">
        <v>167</v>
      </c>
      <c r="B153" s="4">
        <v>45673</v>
      </c>
      <c r="C153" s="3" t="s">
        <v>518</v>
      </c>
      <c r="D153" s="3" t="s">
        <v>524</v>
      </c>
      <c r="E153" s="3" t="s">
        <v>550</v>
      </c>
      <c r="F153" s="3" t="s">
        <v>573</v>
      </c>
      <c r="G153" s="3" t="s">
        <v>584</v>
      </c>
      <c r="H153">
        <v>1</v>
      </c>
      <c r="I153" s="5">
        <v>14918.72</v>
      </c>
      <c r="J153">
        <v>0</v>
      </c>
      <c r="K153" s="5">
        <v>14918.72</v>
      </c>
      <c r="L153" s="5">
        <v>11323.31</v>
      </c>
      <c r="M153" s="5">
        <v>3595.41</v>
      </c>
      <c r="N153">
        <f>YEAR(CleanedSalesData[[#This Row],[OrderDate]])</f>
        <v>2025</v>
      </c>
      <c r="O153">
        <f>MONTH(CleanedSalesData[[#This Row],[OrderDate]])</f>
        <v>1</v>
      </c>
      <c r="P153" t="str">
        <f>TEXT(CleanedSalesData[[#This Row],[OrderDate]], "yyyy-mm")</f>
        <v>2025-01</v>
      </c>
    </row>
    <row r="154" spans="1:16" x14ac:dyDescent="0.3">
      <c r="A154" s="3" t="s">
        <v>168</v>
      </c>
      <c r="B154" s="4">
        <v>45712</v>
      </c>
      <c r="C154" s="3" t="s">
        <v>520</v>
      </c>
      <c r="D154" s="3" t="s">
        <v>535</v>
      </c>
      <c r="E154" s="3" t="s">
        <v>565</v>
      </c>
      <c r="F154" s="3" t="s">
        <v>572</v>
      </c>
      <c r="G154" s="3" t="s">
        <v>587</v>
      </c>
      <c r="H154">
        <v>2</v>
      </c>
      <c r="I154" s="5">
        <v>659.28</v>
      </c>
      <c r="J154">
        <v>0.15</v>
      </c>
      <c r="K154" s="5">
        <v>1120.78</v>
      </c>
      <c r="L154" s="5">
        <v>736.35</v>
      </c>
      <c r="M154" s="5">
        <v>384.43</v>
      </c>
      <c r="N154">
        <f>YEAR(CleanedSalesData[[#This Row],[OrderDate]])</f>
        <v>2025</v>
      </c>
      <c r="O154">
        <f>MONTH(CleanedSalesData[[#This Row],[OrderDate]])</f>
        <v>2</v>
      </c>
      <c r="P154" t="str">
        <f>TEXT(CleanedSalesData[[#This Row],[OrderDate]], "yyyy-mm")</f>
        <v>2025-02</v>
      </c>
    </row>
    <row r="155" spans="1:16" x14ac:dyDescent="0.3">
      <c r="A155" s="3" t="s">
        <v>169</v>
      </c>
      <c r="B155" s="4">
        <v>45509</v>
      </c>
      <c r="C155" s="3" t="s">
        <v>518</v>
      </c>
      <c r="D155" s="3" t="s">
        <v>524</v>
      </c>
      <c r="E155" s="3" t="s">
        <v>541</v>
      </c>
      <c r="F155" s="3" t="s">
        <v>571</v>
      </c>
      <c r="G155" s="3" t="s">
        <v>575</v>
      </c>
      <c r="H155">
        <v>1</v>
      </c>
      <c r="I155" s="5">
        <v>29958.78</v>
      </c>
      <c r="J155">
        <v>0</v>
      </c>
      <c r="K155" s="5">
        <v>29958.78</v>
      </c>
      <c r="L155" s="5">
        <v>25554.84</v>
      </c>
      <c r="M155" s="5">
        <v>4403.9399999999996</v>
      </c>
      <c r="N155">
        <f>YEAR(CleanedSalesData[[#This Row],[OrderDate]])</f>
        <v>2024</v>
      </c>
      <c r="O155">
        <f>MONTH(CleanedSalesData[[#This Row],[OrderDate]])</f>
        <v>8</v>
      </c>
      <c r="P155" t="str">
        <f>TEXT(CleanedSalesData[[#This Row],[OrderDate]], "yyyy-mm")</f>
        <v>2024-08</v>
      </c>
    </row>
    <row r="156" spans="1:16" x14ac:dyDescent="0.3">
      <c r="A156" s="3" t="s">
        <v>170</v>
      </c>
      <c r="B156" s="4">
        <v>45409</v>
      </c>
      <c r="C156" s="3" t="s">
        <v>520</v>
      </c>
      <c r="D156" s="3" t="s">
        <v>528</v>
      </c>
      <c r="E156" s="3" t="s">
        <v>552</v>
      </c>
      <c r="F156" s="3" t="s">
        <v>573</v>
      </c>
      <c r="G156" s="3" t="s">
        <v>584</v>
      </c>
      <c r="H156">
        <v>2</v>
      </c>
      <c r="I156" s="5">
        <v>16112.19</v>
      </c>
      <c r="J156">
        <v>0</v>
      </c>
      <c r="K156" s="5">
        <v>32224.38</v>
      </c>
      <c r="L156" s="5">
        <v>28002.99</v>
      </c>
      <c r="M156" s="5">
        <v>4221.3900000000003</v>
      </c>
      <c r="N156">
        <f>YEAR(CleanedSalesData[[#This Row],[OrderDate]])</f>
        <v>2024</v>
      </c>
      <c r="O156">
        <f>MONTH(CleanedSalesData[[#This Row],[OrderDate]])</f>
        <v>4</v>
      </c>
      <c r="P156" t="str">
        <f>TEXT(CleanedSalesData[[#This Row],[OrderDate]], "yyyy-mm")</f>
        <v>2024-04</v>
      </c>
    </row>
    <row r="157" spans="1:16" x14ac:dyDescent="0.3">
      <c r="A157" s="3" t="s">
        <v>171</v>
      </c>
      <c r="B157" s="4">
        <v>45318</v>
      </c>
      <c r="C157" s="3" t="s">
        <v>517</v>
      </c>
      <c r="D157" s="3" t="s">
        <v>531</v>
      </c>
      <c r="E157" s="3" t="s">
        <v>551</v>
      </c>
      <c r="F157" s="3" t="s">
        <v>571</v>
      </c>
      <c r="G157" s="3" t="s">
        <v>578</v>
      </c>
      <c r="H157">
        <v>1</v>
      </c>
      <c r="I157" s="5">
        <v>57107.81</v>
      </c>
      <c r="J157">
        <v>0</v>
      </c>
      <c r="K157" s="5">
        <v>57107.81</v>
      </c>
      <c r="L157" s="5">
        <v>52881.83</v>
      </c>
      <c r="M157" s="5">
        <v>4225.9799999999996</v>
      </c>
      <c r="N157">
        <f>YEAR(CleanedSalesData[[#This Row],[OrderDate]])</f>
        <v>2024</v>
      </c>
      <c r="O157">
        <f>MONTH(CleanedSalesData[[#This Row],[OrderDate]])</f>
        <v>1</v>
      </c>
      <c r="P157" t="str">
        <f>TEXT(CleanedSalesData[[#This Row],[OrderDate]], "yyyy-mm")</f>
        <v>2024-01</v>
      </c>
    </row>
    <row r="158" spans="1:16" x14ac:dyDescent="0.3">
      <c r="A158" s="3" t="s">
        <v>172</v>
      </c>
      <c r="B158" s="4">
        <v>45639</v>
      </c>
      <c r="C158" s="3" t="s">
        <v>520</v>
      </c>
      <c r="D158" s="3" t="s">
        <v>528</v>
      </c>
      <c r="E158" s="3" t="s">
        <v>547</v>
      </c>
      <c r="F158" s="3" t="s">
        <v>571</v>
      </c>
      <c r="G158" s="3" t="s">
        <v>579</v>
      </c>
      <c r="H158">
        <v>1</v>
      </c>
      <c r="I158" s="5">
        <v>53615.54</v>
      </c>
      <c r="J158">
        <v>0.15</v>
      </c>
      <c r="K158" s="5">
        <v>45573.21</v>
      </c>
      <c r="L158" s="5">
        <v>30123.89</v>
      </c>
      <c r="M158" s="5">
        <v>15449.32</v>
      </c>
      <c r="N158">
        <f>YEAR(CleanedSalesData[[#This Row],[OrderDate]])</f>
        <v>2024</v>
      </c>
      <c r="O158">
        <f>MONTH(CleanedSalesData[[#This Row],[OrderDate]])</f>
        <v>12</v>
      </c>
      <c r="P158" t="str">
        <f>TEXT(CleanedSalesData[[#This Row],[OrderDate]], "yyyy-mm")</f>
        <v>2024-12</v>
      </c>
    </row>
    <row r="159" spans="1:16" x14ac:dyDescent="0.3">
      <c r="A159" s="3" t="s">
        <v>173</v>
      </c>
      <c r="B159" s="4">
        <v>45323</v>
      </c>
      <c r="C159" s="3" t="s">
        <v>516</v>
      </c>
      <c r="D159" s="3" t="s">
        <v>527</v>
      </c>
      <c r="E159" s="3" t="s">
        <v>558</v>
      </c>
      <c r="F159" s="3" t="s">
        <v>572</v>
      </c>
      <c r="G159" s="3" t="s">
        <v>586</v>
      </c>
      <c r="H159">
        <v>2</v>
      </c>
      <c r="I159" s="5">
        <v>714.75</v>
      </c>
      <c r="J159">
        <v>0</v>
      </c>
      <c r="K159" s="5">
        <v>1429.5</v>
      </c>
      <c r="L159" s="5">
        <v>1059.26</v>
      </c>
      <c r="M159" s="5">
        <v>370.24</v>
      </c>
      <c r="N159">
        <f>YEAR(CleanedSalesData[[#This Row],[OrderDate]])</f>
        <v>2024</v>
      </c>
      <c r="O159">
        <f>MONTH(CleanedSalesData[[#This Row],[OrderDate]])</f>
        <v>2</v>
      </c>
      <c r="P159" t="str">
        <f>TEXT(CleanedSalesData[[#This Row],[OrderDate]], "yyyy-mm")</f>
        <v>2024-02</v>
      </c>
    </row>
    <row r="160" spans="1:16" x14ac:dyDescent="0.3">
      <c r="A160" s="3" t="s">
        <v>174</v>
      </c>
      <c r="B160" s="4">
        <v>45624</v>
      </c>
      <c r="C160" s="3" t="s">
        <v>517</v>
      </c>
      <c r="D160" s="3" t="s">
        <v>536</v>
      </c>
      <c r="E160" s="3" t="s">
        <v>560</v>
      </c>
      <c r="F160" s="3" t="s">
        <v>571</v>
      </c>
      <c r="G160" s="3" t="s">
        <v>574</v>
      </c>
      <c r="H160">
        <v>1</v>
      </c>
      <c r="I160" s="5">
        <v>61091.56</v>
      </c>
      <c r="J160">
        <v>0.05</v>
      </c>
      <c r="K160" s="5">
        <v>58036.98</v>
      </c>
      <c r="L160" s="5">
        <v>52117.21</v>
      </c>
      <c r="M160" s="5">
        <v>5919.77</v>
      </c>
      <c r="N160">
        <f>YEAR(CleanedSalesData[[#This Row],[OrderDate]])</f>
        <v>2024</v>
      </c>
      <c r="O160">
        <f>MONTH(CleanedSalesData[[#This Row],[OrderDate]])</f>
        <v>11</v>
      </c>
      <c r="P160" t="str">
        <f>TEXT(CleanedSalesData[[#This Row],[OrderDate]], "yyyy-mm")</f>
        <v>2024-11</v>
      </c>
    </row>
    <row r="161" spans="1:16" x14ac:dyDescent="0.3">
      <c r="A161" s="3" t="s">
        <v>175</v>
      </c>
      <c r="B161" s="4">
        <v>45570</v>
      </c>
      <c r="C161" s="3" t="s">
        <v>519</v>
      </c>
      <c r="D161" s="3" t="s">
        <v>534</v>
      </c>
      <c r="E161" s="3" t="s">
        <v>556</v>
      </c>
      <c r="F161" s="3" t="s">
        <v>573</v>
      </c>
      <c r="G161" s="3" t="s">
        <v>581</v>
      </c>
      <c r="H161">
        <v>1</v>
      </c>
      <c r="I161" s="5">
        <v>11526.23</v>
      </c>
      <c r="J161">
        <v>0</v>
      </c>
      <c r="K161" s="5">
        <v>11526.23</v>
      </c>
      <c r="L161" s="5">
        <v>10085.450000000001</v>
      </c>
      <c r="M161" s="5">
        <v>1440.78</v>
      </c>
      <c r="N161">
        <f>YEAR(CleanedSalesData[[#This Row],[OrderDate]])</f>
        <v>2024</v>
      </c>
      <c r="O161">
        <f>MONTH(CleanedSalesData[[#This Row],[OrderDate]])</f>
        <v>10</v>
      </c>
      <c r="P161" t="str">
        <f>TEXT(CleanedSalesData[[#This Row],[OrderDate]], "yyyy-mm")</f>
        <v>2024-10</v>
      </c>
    </row>
    <row r="162" spans="1:16" x14ac:dyDescent="0.3">
      <c r="A162" s="3" t="s">
        <v>176</v>
      </c>
      <c r="B162" s="4">
        <v>45816</v>
      </c>
      <c r="C162" s="3" t="s">
        <v>516</v>
      </c>
      <c r="D162" s="3" t="s">
        <v>521</v>
      </c>
      <c r="E162" s="3" t="s">
        <v>568</v>
      </c>
      <c r="F162" s="3" t="s">
        <v>571</v>
      </c>
      <c r="G162" s="3" t="s">
        <v>578</v>
      </c>
      <c r="H162">
        <v>1</v>
      </c>
      <c r="I162" s="5">
        <v>55222.78</v>
      </c>
      <c r="J162">
        <v>0</v>
      </c>
      <c r="K162" s="5">
        <v>55222.78</v>
      </c>
      <c r="L162" s="5">
        <v>40643.97</v>
      </c>
      <c r="M162" s="5">
        <v>14578.81</v>
      </c>
      <c r="N162">
        <f>YEAR(CleanedSalesData[[#This Row],[OrderDate]])</f>
        <v>2025</v>
      </c>
      <c r="O162">
        <f>MONTH(CleanedSalesData[[#This Row],[OrderDate]])</f>
        <v>6</v>
      </c>
      <c r="P162" t="str">
        <f>TEXT(CleanedSalesData[[#This Row],[OrderDate]], "yyyy-mm")</f>
        <v>2025-06</v>
      </c>
    </row>
    <row r="163" spans="1:16" x14ac:dyDescent="0.3">
      <c r="A163" s="3" t="s">
        <v>177</v>
      </c>
      <c r="B163" s="4">
        <v>45831</v>
      </c>
      <c r="C163" s="3" t="s">
        <v>520</v>
      </c>
      <c r="D163" s="3" t="s">
        <v>528</v>
      </c>
      <c r="E163" s="3" t="s">
        <v>547</v>
      </c>
      <c r="F163" s="3" t="s">
        <v>572</v>
      </c>
      <c r="G163" s="3" t="s">
        <v>587</v>
      </c>
      <c r="H163">
        <v>2</v>
      </c>
      <c r="I163" s="5">
        <v>156.82</v>
      </c>
      <c r="J163">
        <v>0</v>
      </c>
      <c r="K163" s="5">
        <v>313.64</v>
      </c>
      <c r="L163" s="5">
        <v>271.61</v>
      </c>
      <c r="M163" s="5">
        <v>42.03</v>
      </c>
      <c r="N163">
        <f>YEAR(CleanedSalesData[[#This Row],[OrderDate]])</f>
        <v>2025</v>
      </c>
      <c r="O163">
        <f>MONTH(CleanedSalesData[[#This Row],[OrderDate]])</f>
        <v>6</v>
      </c>
      <c r="P163" t="str">
        <f>TEXT(CleanedSalesData[[#This Row],[OrderDate]], "yyyy-mm")</f>
        <v>2025-06</v>
      </c>
    </row>
    <row r="164" spans="1:16" x14ac:dyDescent="0.3">
      <c r="A164" s="3" t="s">
        <v>178</v>
      </c>
      <c r="B164" s="4">
        <v>45508</v>
      </c>
      <c r="C164" s="3" t="s">
        <v>518</v>
      </c>
      <c r="D164" s="3" t="s">
        <v>529</v>
      </c>
      <c r="E164" s="3" t="s">
        <v>553</v>
      </c>
      <c r="F164" s="3" t="s">
        <v>572</v>
      </c>
      <c r="G164" s="3" t="s">
        <v>588</v>
      </c>
      <c r="H164">
        <v>4</v>
      </c>
      <c r="I164" s="5">
        <v>65.069999999999993</v>
      </c>
      <c r="J164">
        <v>0</v>
      </c>
      <c r="K164" s="5">
        <v>260.27999999999997</v>
      </c>
      <c r="L164" s="5">
        <v>189.74</v>
      </c>
      <c r="M164" s="5">
        <v>70.540000000000006</v>
      </c>
      <c r="N164">
        <f>YEAR(CleanedSalesData[[#This Row],[OrderDate]])</f>
        <v>2024</v>
      </c>
      <c r="O164">
        <f>MONTH(CleanedSalesData[[#This Row],[OrderDate]])</f>
        <v>8</v>
      </c>
      <c r="P164" t="str">
        <f>TEXT(CleanedSalesData[[#This Row],[OrderDate]], "yyyy-mm")</f>
        <v>2024-08</v>
      </c>
    </row>
    <row r="165" spans="1:16" x14ac:dyDescent="0.3">
      <c r="A165" s="3" t="s">
        <v>179</v>
      </c>
      <c r="B165" s="4">
        <v>45471</v>
      </c>
      <c r="C165" s="3" t="s">
        <v>518</v>
      </c>
      <c r="D165" s="3" t="s">
        <v>529</v>
      </c>
      <c r="E165" s="3" t="s">
        <v>548</v>
      </c>
      <c r="F165" s="3" t="s">
        <v>573</v>
      </c>
      <c r="G165" s="3" t="s">
        <v>584</v>
      </c>
      <c r="H165">
        <v>1</v>
      </c>
      <c r="I165" s="5">
        <v>21167.15</v>
      </c>
      <c r="J165">
        <v>0</v>
      </c>
      <c r="K165" s="5">
        <v>21167.15</v>
      </c>
      <c r="L165" s="5">
        <v>16214.04</v>
      </c>
      <c r="M165" s="5">
        <v>4953.1099999999997</v>
      </c>
      <c r="N165">
        <f>YEAR(CleanedSalesData[[#This Row],[OrderDate]])</f>
        <v>2024</v>
      </c>
      <c r="O165">
        <f>MONTH(CleanedSalesData[[#This Row],[OrderDate]])</f>
        <v>6</v>
      </c>
      <c r="P165" t="str">
        <f>TEXT(CleanedSalesData[[#This Row],[OrderDate]], "yyyy-mm")</f>
        <v>2024-06</v>
      </c>
    </row>
    <row r="166" spans="1:16" x14ac:dyDescent="0.3">
      <c r="A166" s="3" t="s">
        <v>180</v>
      </c>
      <c r="B166" s="4">
        <v>45365</v>
      </c>
      <c r="C166" s="3" t="s">
        <v>519</v>
      </c>
      <c r="D166" s="3" t="s">
        <v>526</v>
      </c>
      <c r="E166" s="3" t="s">
        <v>543</v>
      </c>
      <c r="F166" s="3" t="s">
        <v>571</v>
      </c>
      <c r="G166" s="3" t="s">
        <v>576</v>
      </c>
      <c r="H166">
        <v>1</v>
      </c>
      <c r="I166" s="5">
        <v>73929.509999999995</v>
      </c>
      <c r="J166">
        <v>0</v>
      </c>
      <c r="K166" s="5">
        <v>73929.509999999995</v>
      </c>
      <c r="L166" s="5">
        <v>64762.25</v>
      </c>
      <c r="M166" s="5">
        <v>9167.26</v>
      </c>
      <c r="N166">
        <f>YEAR(CleanedSalesData[[#This Row],[OrderDate]])</f>
        <v>2024</v>
      </c>
      <c r="O166">
        <f>MONTH(CleanedSalesData[[#This Row],[OrderDate]])</f>
        <v>3</v>
      </c>
      <c r="P166" t="str">
        <f>TEXT(CleanedSalesData[[#This Row],[OrderDate]], "yyyy-mm")</f>
        <v>2024-03</v>
      </c>
    </row>
    <row r="167" spans="1:16" x14ac:dyDescent="0.3">
      <c r="A167" s="3" t="s">
        <v>181</v>
      </c>
      <c r="B167" s="4">
        <v>45881</v>
      </c>
      <c r="C167" s="3" t="s">
        <v>519</v>
      </c>
      <c r="D167" s="3" t="s">
        <v>534</v>
      </c>
      <c r="E167" s="3" t="s">
        <v>556</v>
      </c>
      <c r="F167" s="3" t="s">
        <v>572</v>
      </c>
      <c r="G167" s="3" t="s">
        <v>588</v>
      </c>
      <c r="H167">
        <v>1</v>
      </c>
      <c r="I167" s="5">
        <v>839.81</v>
      </c>
      <c r="J167">
        <v>0</v>
      </c>
      <c r="K167" s="5">
        <v>839.81</v>
      </c>
      <c r="L167" s="5">
        <v>607.17999999999995</v>
      </c>
      <c r="M167" s="5">
        <v>232.63</v>
      </c>
      <c r="N167">
        <f>YEAR(CleanedSalesData[[#This Row],[OrderDate]])</f>
        <v>2025</v>
      </c>
      <c r="O167">
        <f>MONTH(CleanedSalesData[[#This Row],[OrderDate]])</f>
        <v>8</v>
      </c>
      <c r="P167" t="str">
        <f>TEXT(CleanedSalesData[[#This Row],[OrderDate]], "yyyy-mm")</f>
        <v>2025-08</v>
      </c>
    </row>
    <row r="168" spans="1:16" x14ac:dyDescent="0.3">
      <c r="A168" s="3" t="s">
        <v>182</v>
      </c>
      <c r="B168" s="4">
        <v>45467</v>
      </c>
      <c r="C168" s="3" t="s">
        <v>517</v>
      </c>
      <c r="D168" s="3" t="s">
        <v>530</v>
      </c>
      <c r="E168" s="3" t="s">
        <v>549</v>
      </c>
      <c r="F168" s="3" t="s">
        <v>571</v>
      </c>
      <c r="G168" s="3" t="s">
        <v>576</v>
      </c>
      <c r="H168">
        <v>1</v>
      </c>
      <c r="I168" s="5">
        <v>68025.3</v>
      </c>
      <c r="J168">
        <v>0</v>
      </c>
      <c r="K168" s="5">
        <v>68025.3</v>
      </c>
      <c r="L168" s="5">
        <v>62243.15</v>
      </c>
      <c r="M168" s="5">
        <v>5782.15</v>
      </c>
      <c r="N168">
        <f>YEAR(CleanedSalesData[[#This Row],[OrderDate]])</f>
        <v>2024</v>
      </c>
      <c r="O168">
        <f>MONTH(CleanedSalesData[[#This Row],[OrderDate]])</f>
        <v>6</v>
      </c>
      <c r="P168" t="str">
        <f>TEXT(CleanedSalesData[[#This Row],[OrderDate]], "yyyy-mm")</f>
        <v>2024-06</v>
      </c>
    </row>
    <row r="169" spans="1:16" x14ac:dyDescent="0.3">
      <c r="A169" s="3" t="s">
        <v>183</v>
      </c>
      <c r="B169" s="4">
        <v>45895</v>
      </c>
      <c r="C169" s="3" t="s">
        <v>519</v>
      </c>
      <c r="D169" s="3" t="s">
        <v>526</v>
      </c>
      <c r="E169" s="3" t="s">
        <v>543</v>
      </c>
      <c r="F169" s="3" t="s">
        <v>572</v>
      </c>
      <c r="G169" s="3" t="s">
        <v>577</v>
      </c>
      <c r="H169">
        <v>1</v>
      </c>
      <c r="I169" s="5">
        <v>482.07</v>
      </c>
      <c r="J169">
        <v>0</v>
      </c>
      <c r="K169" s="5">
        <v>482.07</v>
      </c>
      <c r="L169" s="5">
        <v>452.18</v>
      </c>
      <c r="M169" s="5">
        <v>29.89</v>
      </c>
      <c r="N169">
        <f>YEAR(CleanedSalesData[[#This Row],[OrderDate]])</f>
        <v>2025</v>
      </c>
      <c r="O169">
        <f>MONTH(CleanedSalesData[[#This Row],[OrderDate]])</f>
        <v>8</v>
      </c>
      <c r="P169" t="str">
        <f>TEXT(CleanedSalesData[[#This Row],[OrderDate]], "yyyy-mm")</f>
        <v>2025-08</v>
      </c>
    </row>
    <row r="170" spans="1:16" x14ac:dyDescent="0.3">
      <c r="A170" s="3" t="s">
        <v>184</v>
      </c>
      <c r="B170" s="4">
        <v>45370</v>
      </c>
      <c r="C170" s="3" t="s">
        <v>517</v>
      </c>
      <c r="D170" s="3" t="s">
        <v>536</v>
      </c>
      <c r="E170" s="3" t="s">
        <v>560</v>
      </c>
      <c r="F170" s="3" t="s">
        <v>572</v>
      </c>
      <c r="G170" s="3" t="s">
        <v>577</v>
      </c>
      <c r="H170">
        <v>3</v>
      </c>
      <c r="I170" s="5">
        <v>1468.39</v>
      </c>
      <c r="J170">
        <v>0</v>
      </c>
      <c r="K170" s="5">
        <v>4405.17</v>
      </c>
      <c r="L170" s="5">
        <v>3255.42</v>
      </c>
      <c r="M170" s="5">
        <v>1149.75</v>
      </c>
      <c r="N170">
        <f>YEAR(CleanedSalesData[[#This Row],[OrderDate]])</f>
        <v>2024</v>
      </c>
      <c r="O170">
        <f>MONTH(CleanedSalesData[[#This Row],[OrderDate]])</f>
        <v>3</v>
      </c>
      <c r="P170" t="str">
        <f>TEXT(CleanedSalesData[[#This Row],[OrderDate]], "yyyy-mm")</f>
        <v>2024-03</v>
      </c>
    </row>
    <row r="171" spans="1:16" x14ac:dyDescent="0.3">
      <c r="A171" s="3" t="s">
        <v>185</v>
      </c>
      <c r="B171" s="4">
        <v>45443</v>
      </c>
      <c r="C171" s="3" t="s">
        <v>518</v>
      </c>
      <c r="D171" s="3" t="s">
        <v>537</v>
      </c>
      <c r="E171" s="3" t="s">
        <v>561</v>
      </c>
      <c r="F171" s="3" t="s">
        <v>572</v>
      </c>
      <c r="G171" s="3" t="s">
        <v>583</v>
      </c>
      <c r="H171">
        <v>1</v>
      </c>
      <c r="I171" s="5">
        <v>388.32</v>
      </c>
      <c r="J171">
        <v>0.15</v>
      </c>
      <c r="K171" s="5">
        <v>330.07</v>
      </c>
      <c r="L171" s="5">
        <v>303.99</v>
      </c>
      <c r="M171" s="5">
        <v>26.08</v>
      </c>
      <c r="N171">
        <f>YEAR(CleanedSalesData[[#This Row],[OrderDate]])</f>
        <v>2024</v>
      </c>
      <c r="O171">
        <f>MONTH(CleanedSalesData[[#This Row],[OrderDate]])</f>
        <v>5</v>
      </c>
      <c r="P171" t="str">
        <f>TEXT(CleanedSalesData[[#This Row],[OrderDate]], "yyyy-mm")</f>
        <v>2024-05</v>
      </c>
    </row>
    <row r="172" spans="1:16" x14ac:dyDescent="0.3">
      <c r="A172" s="3" t="s">
        <v>186</v>
      </c>
      <c r="B172" s="4">
        <v>45369</v>
      </c>
      <c r="C172" s="3" t="s">
        <v>518</v>
      </c>
      <c r="D172" s="3" t="s">
        <v>524</v>
      </c>
      <c r="E172" s="3" t="s">
        <v>541</v>
      </c>
      <c r="F172" s="3" t="s">
        <v>572</v>
      </c>
      <c r="G172" s="3" t="s">
        <v>587</v>
      </c>
      <c r="H172">
        <v>1</v>
      </c>
      <c r="I172" s="5">
        <v>1531.76</v>
      </c>
      <c r="J172">
        <v>0</v>
      </c>
      <c r="K172" s="5">
        <v>1531.76</v>
      </c>
      <c r="L172" s="5">
        <v>1237.6600000000001</v>
      </c>
      <c r="M172" s="5">
        <v>294.10000000000002</v>
      </c>
      <c r="N172">
        <f>YEAR(CleanedSalesData[[#This Row],[OrderDate]])</f>
        <v>2024</v>
      </c>
      <c r="O172">
        <f>MONTH(CleanedSalesData[[#This Row],[OrderDate]])</f>
        <v>3</v>
      </c>
      <c r="P172" t="str">
        <f>TEXT(CleanedSalesData[[#This Row],[OrderDate]], "yyyy-mm")</f>
        <v>2024-03</v>
      </c>
    </row>
    <row r="173" spans="1:16" x14ac:dyDescent="0.3">
      <c r="A173" s="3" t="s">
        <v>187</v>
      </c>
      <c r="B173" s="4">
        <v>45870</v>
      </c>
      <c r="C173" s="3" t="s">
        <v>517</v>
      </c>
      <c r="D173" s="3" t="s">
        <v>531</v>
      </c>
      <c r="E173" s="3" t="s">
        <v>563</v>
      </c>
      <c r="F173" s="3" t="s">
        <v>571</v>
      </c>
      <c r="G173" s="3" t="s">
        <v>576</v>
      </c>
      <c r="H173">
        <v>1</v>
      </c>
      <c r="I173" s="5">
        <v>8258.0400000000009</v>
      </c>
      <c r="J173">
        <v>0</v>
      </c>
      <c r="K173" s="5">
        <v>8258.0400000000009</v>
      </c>
      <c r="L173" s="5">
        <v>6771.59</v>
      </c>
      <c r="M173" s="5">
        <v>1486.45</v>
      </c>
      <c r="N173">
        <f>YEAR(CleanedSalesData[[#This Row],[OrderDate]])</f>
        <v>2025</v>
      </c>
      <c r="O173">
        <f>MONTH(CleanedSalesData[[#This Row],[OrderDate]])</f>
        <v>8</v>
      </c>
      <c r="P173" t="str">
        <f>TEXT(CleanedSalesData[[#This Row],[OrderDate]], "yyyy-mm")</f>
        <v>2025-08</v>
      </c>
    </row>
    <row r="174" spans="1:16" x14ac:dyDescent="0.3">
      <c r="A174" s="3" t="s">
        <v>188</v>
      </c>
      <c r="B174" s="4">
        <v>45602</v>
      </c>
      <c r="C174" s="3" t="s">
        <v>520</v>
      </c>
      <c r="D174" s="3" t="s">
        <v>528</v>
      </c>
      <c r="E174" s="3" t="s">
        <v>552</v>
      </c>
      <c r="F174" s="3" t="s">
        <v>573</v>
      </c>
      <c r="G174" s="3" t="s">
        <v>582</v>
      </c>
      <c r="H174">
        <v>1</v>
      </c>
      <c r="I174" s="5">
        <v>9139.3799999999992</v>
      </c>
      <c r="J174">
        <v>0</v>
      </c>
      <c r="K174" s="5">
        <v>9139.3799999999992</v>
      </c>
      <c r="L174" s="5">
        <v>6991.63</v>
      </c>
      <c r="M174" s="5">
        <v>2147.75</v>
      </c>
      <c r="N174">
        <f>YEAR(CleanedSalesData[[#This Row],[OrderDate]])</f>
        <v>2024</v>
      </c>
      <c r="O174">
        <f>MONTH(CleanedSalesData[[#This Row],[OrderDate]])</f>
        <v>11</v>
      </c>
      <c r="P174" t="str">
        <f>TEXT(CleanedSalesData[[#This Row],[OrderDate]], "yyyy-mm")</f>
        <v>2024-11</v>
      </c>
    </row>
    <row r="175" spans="1:16" x14ac:dyDescent="0.3">
      <c r="A175" s="3" t="s">
        <v>189</v>
      </c>
      <c r="B175" s="4">
        <v>45350</v>
      </c>
      <c r="C175" s="3" t="s">
        <v>520</v>
      </c>
      <c r="D175" s="3" t="s">
        <v>535</v>
      </c>
      <c r="E175" s="3" t="s">
        <v>565</v>
      </c>
      <c r="F175" s="3" t="s">
        <v>573</v>
      </c>
      <c r="G175" s="3" t="s">
        <v>582</v>
      </c>
      <c r="H175">
        <v>1</v>
      </c>
      <c r="I175" s="5">
        <v>16145.19</v>
      </c>
      <c r="J175">
        <v>0</v>
      </c>
      <c r="K175" s="5">
        <v>16145.19</v>
      </c>
      <c r="L175" s="5">
        <v>15111.9</v>
      </c>
      <c r="M175" s="5">
        <v>1033.29</v>
      </c>
      <c r="N175">
        <f>YEAR(CleanedSalesData[[#This Row],[OrderDate]])</f>
        <v>2024</v>
      </c>
      <c r="O175">
        <f>MONTH(CleanedSalesData[[#This Row],[OrderDate]])</f>
        <v>2</v>
      </c>
      <c r="P175" t="str">
        <f>TEXT(CleanedSalesData[[#This Row],[OrderDate]], "yyyy-mm")</f>
        <v>2024-02</v>
      </c>
    </row>
    <row r="176" spans="1:16" x14ac:dyDescent="0.3">
      <c r="A176" s="3" t="s">
        <v>190</v>
      </c>
      <c r="B176" s="4">
        <v>45765</v>
      </c>
      <c r="C176" s="3" t="s">
        <v>517</v>
      </c>
      <c r="D176" s="3" t="s">
        <v>536</v>
      </c>
      <c r="E176" s="3" t="s">
        <v>560</v>
      </c>
      <c r="F176" s="3" t="s">
        <v>573</v>
      </c>
      <c r="G176" s="3" t="s">
        <v>585</v>
      </c>
      <c r="H176">
        <v>1</v>
      </c>
      <c r="I176" s="5">
        <v>9395.1200000000008</v>
      </c>
      <c r="J176">
        <v>0</v>
      </c>
      <c r="K176" s="5">
        <v>9395.1200000000008</v>
      </c>
      <c r="L176" s="5">
        <v>7159.08</v>
      </c>
      <c r="M176" s="5">
        <v>2236.04</v>
      </c>
      <c r="N176">
        <f>YEAR(CleanedSalesData[[#This Row],[OrderDate]])</f>
        <v>2025</v>
      </c>
      <c r="O176">
        <f>MONTH(CleanedSalesData[[#This Row],[OrderDate]])</f>
        <v>4</v>
      </c>
      <c r="P176" t="str">
        <f>TEXT(CleanedSalesData[[#This Row],[OrderDate]], "yyyy-mm")</f>
        <v>2025-04</v>
      </c>
    </row>
    <row r="177" spans="1:16" x14ac:dyDescent="0.3">
      <c r="A177" s="3" t="s">
        <v>191</v>
      </c>
      <c r="B177" s="4">
        <v>45446</v>
      </c>
      <c r="C177" s="3" t="s">
        <v>516</v>
      </c>
      <c r="D177" s="3" t="s">
        <v>522</v>
      </c>
      <c r="E177" s="3" t="s">
        <v>539</v>
      </c>
      <c r="F177" s="3" t="s">
        <v>572</v>
      </c>
      <c r="G177" s="3" t="s">
        <v>588</v>
      </c>
      <c r="H177">
        <v>1</v>
      </c>
      <c r="I177" s="5">
        <v>1033.8699999999999</v>
      </c>
      <c r="J177">
        <v>0.05</v>
      </c>
      <c r="K177" s="5">
        <v>982.18</v>
      </c>
      <c r="L177" s="5">
        <v>680.65</v>
      </c>
      <c r="M177" s="5">
        <v>301.52999999999997</v>
      </c>
      <c r="N177">
        <f>YEAR(CleanedSalesData[[#This Row],[OrderDate]])</f>
        <v>2024</v>
      </c>
      <c r="O177">
        <f>MONTH(CleanedSalesData[[#This Row],[OrderDate]])</f>
        <v>6</v>
      </c>
      <c r="P177" t="str">
        <f>TEXT(CleanedSalesData[[#This Row],[OrderDate]], "yyyy-mm")</f>
        <v>2024-06</v>
      </c>
    </row>
    <row r="178" spans="1:16" x14ac:dyDescent="0.3">
      <c r="A178" s="3" t="s">
        <v>192</v>
      </c>
      <c r="B178" s="4">
        <v>45740</v>
      </c>
      <c r="C178" s="3" t="s">
        <v>519</v>
      </c>
      <c r="D178" s="3" t="s">
        <v>533</v>
      </c>
      <c r="E178" s="3" t="s">
        <v>555</v>
      </c>
      <c r="F178" s="3" t="s">
        <v>572</v>
      </c>
      <c r="G178" s="3" t="s">
        <v>577</v>
      </c>
      <c r="H178">
        <v>2</v>
      </c>
      <c r="I178" s="5">
        <v>805.46</v>
      </c>
      <c r="J178">
        <v>0</v>
      </c>
      <c r="K178" s="5">
        <v>1610.92</v>
      </c>
      <c r="L178" s="5">
        <v>1451.44</v>
      </c>
      <c r="M178" s="5">
        <v>159.47999999999999</v>
      </c>
      <c r="N178">
        <f>YEAR(CleanedSalesData[[#This Row],[OrderDate]])</f>
        <v>2025</v>
      </c>
      <c r="O178">
        <f>MONTH(CleanedSalesData[[#This Row],[OrderDate]])</f>
        <v>3</v>
      </c>
      <c r="P178" t="str">
        <f>TEXT(CleanedSalesData[[#This Row],[OrderDate]], "yyyy-mm")</f>
        <v>2025-03</v>
      </c>
    </row>
    <row r="179" spans="1:16" x14ac:dyDescent="0.3">
      <c r="A179" s="3" t="s">
        <v>193</v>
      </c>
      <c r="B179" s="4">
        <v>45345</v>
      </c>
      <c r="C179" s="3" t="s">
        <v>520</v>
      </c>
      <c r="D179" s="3" t="s">
        <v>528</v>
      </c>
      <c r="E179" s="3" t="s">
        <v>552</v>
      </c>
      <c r="F179" s="3" t="s">
        <v>571</v>
      </c>
      <c r="G179" s="3" t="s">
        <v>579</v>
      </c>
      <c r="H179">
        <v>1</v>
      </c>
      <c r="I179" s="5">
        <v>55235.21</v>
      </c>
      <c r="J179">
        <v>0</v>
      </c>
      <c r="K179" s="5">
        <v>55235.21</v>
      </c>
      <c r="L179" s="5">
        <v>41813.050000000003</v>
      </c>
      <c r="M179" s="5">
        <v>13422.16</v>
      </c>
      <c r="N179">
        <f>YEAR(CleanedSalesData[[#This Row],[OrderDate]])</f>
        <v>2024</v>
      </c>
      <c r="O179">
        <f>MONTH(CleanedSalesData[[#This Row],[OrderDate]])</f>
        <v>2</v>
      </c>
      <c r="P179" t="str">
        <f>TEXT(CleanedSalesData[[#This Row],[OrderDate]], "yyyy-mm")</f>
        <v>2024-02</v>
      </c>
    </row>
    <row r="180" spans="1:16" x14ac:dyDescent="0.3">
      <c r="A180" s="3" t="s">
        <v>194</v>
      </c>
      <c r="B180" s="4">
        <v>45445</v>
      </c>
      <c r="C180" s="3" t="s">
        <v>520</v>
      </c>
      <c r="D180" s="3" t="s">
        <v>528</v>
      </c>
      <c r="E180" s="3" t="s">
        <v>547</v>
      </c>
      <c r="F180" s="3" t="s">
        <v>572</v>
      </c>
      <c r="G180" s="3" t="s">
        <v>577</v>
      </c>
      <c r="H180">
        <v>1</v>
      </c>
      <c r="I180" s="5">
        <v>1937.01</v>
      </c>
      <c r="J180">
        <v>0</v>
      </c>
      <c r="K180" s="5">
        <v>1937.01</v>
      </c>
      <c r="L180" s="5">
        <v>1499.25</v>
      </c>
      <c r="M180" s="5">
        <v>437.76</v>
      </c>
      <c r="N180">
        <f>YEAR(CleanedSalesData[[#This Row],[OrderDate]])</f>
        <v>2024</v>
      </c>
      <c r="O180">
        <f>MONTH(CleanedSalesData[[#This Row],[OrderDate]])</f>
        <v>6</v>
      </c>
      <c r="P180" t="str">
        <f>TEXT(CleanedSalesData[[#This Row],[OrderDate]], "yyyy-mm")</f>
        <v>2024-06</v>
      </c>
    </row>
    <row r="181" spans="1:16" x14ac:dyDescent="0.3">
      <c r="A181" s="3" t="s">
        <v>195</v>
      </c>
      <c r="B181" s="4">
        <v>45693</v>
      </c>
      <c r="C181" s="3" t="s">
        <v>518</v>
      </c>
      <c r="D181" s="3" t="s">
        <v>524</v>
      </c>
      <c r="E181" s="3" t="s">
        <v>550</v>
      </c>
      <c r="F181" s="3" t="s">
        <v>572</v>
      </c>
      <c r="G181" s="3" t="s">
        <v>587</v>
      </c>
      <c r="H181">
        <v>4</v>
      </c>
      <c r="I181" s="5">
        <v>784.52</v>
      </c>
      <c r="J181">
        <v>0</v>
      </c>
      <c r="K181" s="5">
        <v>3138.08</v>
      </c>
      <c r="L181" s="5">
        <v>2438.29</v>
      </c>
      <c r="M181" s="5">
        <v>699.79</v>
      </c>
      <c r="N181">
        <f>YEAR(CleanedSalesData[[#This Row],[OrderDate]])</f>
        <v>2025</v>
      </c>
      <c r="O181">
        <f>MONTH(CleanedSalesData[[#This Row],[OrderDate]])</f>
        <v>2</v>
      </c>
      <c r="P181" t="str">
        <f>TEXT(CleanedSalesData[[#This Row],[OrderDate]], "yyyy-mm")</f>
        <v>2025-02</v>
      </c>
    </row>
    <row r="182" spans="1:16" x14ac:dyDescent="0.3">
      <c r="A182" s="3" t="s">
        <v>196</v>
      </c>
      <c r="B182" s="4">
        <v>45422</v>
      </c>
      <c r="C182" s="3" t="s">
        <v>517</v>
      </c>
      <c r="D182" s="3" t="s">
        <v>536</v>
      </c>
      <c r="E182" s="3" t="s">
        <v>560</v>
      </c>
      <c r="F182" s="3" t="s">
        <v>573</v>
      </c>
      <c r="G182" s="3" t="s">
        <v>580</v>
      </c>
      <c r="H182">
        <v>1</v>
      </c>
      <c r="I182" s="5">
        <v>2419.3000000000002</v>
      </c>
      <c r="J182">
        <v>0</v>
      </c>
      <c r="K182" s="5">
        <v>2419.3000000000002</v>
      </c>
      <c r="L182" s="5">
        <v>1831.41</v>
      </c>
      <c r="M182" s="5">
        <v>587.89</v>
      </c>
      <c r="N182">
        <f>YEAR(CleanedSalesData[[#This Row],[OrderDate]])</f>
        <v>2024</v>
      </c>
      <c r="O182">
        <f>MONTH(CleanedSalesData[[#This Row],[OrderDate]])</f>
        <v>5</v>
      </c>
      <c r="P182" t="str">
        <f>TEXT(CleanedSalesData[[#This Row],[OrderDate]], "yyyy-mm")</f>
        <v>2024-05</v>
      </c>
    </row>
    <row r="183" spans="1:16" x14ac:dyDescent="0.3">
      <c r="A183" s="3" t="s">
        <v>197</v>
      </c>
      <c r="B183" s="4">
        <v>45511</v>
      </c>
      <c r="C183" s="3" t="s">
        <v>520</v>
      </c>
      <c r="D183" s="3" t="s">
        <v>535</v>
      </c>
      <c r="E183" s="3" t="s">
        <v>565</v>
      </c>
      <c r="F183" s="3" t="s">
        <v>571</v>
      </c>
      <c r="G183" s="3" t="s">
        <v>574</v>
      </c>
      <c r="H183">
        <v>1</v>
      </c>
      <c r="I183" s="5">
        <v>14930.78</v>
      </c>
      <c r="J183">
        <v>0</v>
      </c>
      <c r="K183" s="5">
        <v>14930.78</v>
      </c>
      <c r="L183" s="5">
        <v>11735.59</v>
      </c>
      <c r="M183" s="5">
        <v>3195.19</v>
      </c>
      <c r="N183">
        <f>YEAR(CleanedSalesData[[#This Row],[OrderDate]])</f>
        <v>2024</v>
      </c>
      <c r="O183">
        <f>MONTH(CleanedSalesData[[#This Row],[OrderDate]])</f>
        <v>8</v>
      </c>
      <c r="P183" t="str">
        <f>TEXT(CleanedSalesData[[#This Row],[OrderDate]], "yyyy-mm")</f>
        <v>2024-08</v>
      </c>
    </row>
    <row r="184" spans="1:16" x14ac:dyDescent="0.3">
      <c r="A184" s="3" t="s">
        <v>198</v>
      </c>
      <c r="B184" s="4">
        <v>45395</v>
      </c>
      <c r="C184" s="3" t="s">
        <v>517</v>
      </c>
      <c r="D184" s="3" t="s">
        <v>536</v>
      </c>
      <c r="E184" s="3" t="s">
        <v>560</v>
      </c>
      <c r="F184" s="3" t="s">
        <v>573</v>
      </c>
      <c r="G184" s="3" t="s">
        <v>585</v>
      </c>
      <c r="H184">
        <v>4</v>
      </c>
      <c r="I184" s="5">
        <v>15736.67</v>
      </c>
      <c r="J184">
        <v>0.05</v>
      </c>
      <c r="K184" s="5">
        <v>59799.35</v>
      </c>
      <c r="L184" s="5">
        <v>49872.66</v>
      </c>
      <c r="M184" s="5">
        <v>9926.69</v>
      </c>
      <c r="N184">
        <f>YEAR(CleanedSalesData[[#This Row],[OrderDate]])</f>
        <v>2024</v>
      </c>
      <c r="O184">
        <f>MONTH(CleanedSalesData[[#This Row],[OrderDate]])</f>
        <v>4</v>
      </c>
      <c r="P184" t="str">
        <f>TEXT(CleanedSalesData[[#This Row],[OrderDate]], "yyyy-mm")</f>
        <v>2024-04</v>
      </c>
    </row>
    <row r="185" spans="1:16" x14ac:dyDescent="0.3">
      <c r="A185" s="3" t="s">
        <v>199</v>
      </c>
      <c r="B185" s="4">
        <v>45461</v>
      </c>
      <c r="C185" s="3" t="s">
        <v>519</v>
      </c>
      <c r="D185" s="3" t="s">
        <v>526</v>
      </c>
      <c r="E185" s="3" t="s">
        <v>543</v>
      </c>
      <c r="F185" s="3" t="s">
        <v>572</v>
      </c>
      <c r="G185" s="3" t="s">
        <v>583</v>
      </c>
      <c r="H185">
        <v>4</v>
      </c>
      <c r="I185" s="5">
        <v>1940.7</v>
      </c>
      <c r="J185">
        <v>0</v>
      </c>
      <c r="K185" s="5">
        <v>7762.8</v>
      </c>
      <c r="L185" s="5">
        <v>5263.18</v>
      </c>
      <c r="M185" s="5">
        <v>2499.62</v>
      </c>
      <c r="N185">
        <f>YEAR(CleanedSalesData[[#This Row],[OrderDate]])</f>
        <v>2024</v>
      </c>
      <c r="O185">
        <f>MONTH(CleanedSalesData[[#This Row],[OrderDate]])</f>
        <v>6</v>
      </c>
      <c r="P185" t="str">
        <f>TEXT(CleanedSalesData[[#This Row],[OrderDate]], "yyyy-mm")</f>
        <v>2024-06</v>
      </c>
    </row>
    <row r="186" spans="1:16" x14ac:dyDescent="0.3">
      <c r="A186" s="3" t="s">
        <v>200</v>
      </c>
      <c r="B186" s="4">
        <v>45751</v>
      </c>
      <c r="C186" s="3" t="s">
        <v>518</v>
      </c>
      <c r="D186" s="3" t="s">
        <v>524</v>
      </c>
      <c r="E186" s="3" t="s">
        <v>550</v>
      </c>
      <c r="F186" s="3" t="s">
        <v>572</v>
      </c>
      <c r="G186" s="3" t="s">
        <v>586</v>
      </c>
      <c r="H186">
        <v>1</v>
      </c>
      <c r="I186" s="5">
        <v>1812.75</v>
      </c>
      <c r="J186">
        <v>0.15</v>
      </c>
      <c r="K186" s="5">
        <v>1540.84</v>
      </c>
      <c r="L186" s="5">
        <v>1431.44</v>
      </c>
      <c r="M186" s="5">
        <v>109.4</v>
      </c>
      <c r="N186">
        <f>YEAR(CleanedSalesData[[#This Row],[OrderDate]])</f>
        <v>2025</v>
      </c>
      <c r="O186">
        <f>MONTH(CleanedSalesData[[#This Row],[OrderDate]])</f>
        <v>4</v>
      </c>
      <c r="P186" t="str">
        <f>TEXT(CleanedSalesData[[#This Row],[OrderDate]], "yyyy-mm")</f>
        <v>2025-04</v>
      </c>
    </row>
    <row r="187" spans="1:16" x14ac:dyDescent="0.3">
      <c r="A187" s="3" t="s">
        <v>201</v>
      </c>
      <c r="B187" s="4">
        <v>45876</v>
      </c>
      <c r="C187" s="3" t="s">
        <v>519</v>
      </c>
      <c r="D187" s="3" t="s">
        <v>534</v>
      </c>
      <c r="E187" s="3" t="s">
        <v>556</v>
      </c>
      <c r="F187" s="3" t="s">
        <v>572</v>
      </c>
      <c r="G187" s="3" t="s">
        <v>587</v>
      </c>
      <c r="H187">
        <v>1</v>
      </c>
      <c r="I187" s="5">
        <v>1078.55</v>
      </c>
      <c r="J187">
        <v>0</v>
      </c>
      <c r="K187" s="5">
        <v>1078.55</v>
      </c>
      <c r="L187" s="5">
        <v>1019.23</v>
      </c>
      <c r="M187" s="5">
        <v>59.32</v>
      </c>
      <c r="N187">
        <f>YEAR(CleanedSalesData[[#This Row],[OrderDate]])</f>
        <v>2025</v>
      </c>
      <c r="O187">
        <f>MONTH(CleanedSalesData[[#This Row],[OrderDate]])</f>
        <v>8</v>
      </c>
      <c r="P187" t="str">
        <f>TEXT(CleanedSalesData[[#This Row],[OrderDate]], "yyyy-mm")</f>
        <v>2025-08</v>
      </c>
    </row>
    <row r="188" spans="1:16" x14ac:dyDescent="0.3">
      <c r="A188" s="3" t="s">
        <v>202</v>
      </c>
      <c r="B188" s="4">
        <v>45496</v>
      </c>
      <c r="C188" s="3" t="s">
        <v>517</v>
      </c>
      <c r="D188" s="3" t="s">
        <v>523</v>
      </c>
      <c r="E188" s="3" t="s">
        <v>540</v>
      </c>
      <c r="F188" s="3" t="s">
        <v>571</v>
      </c>
      <c r="G188" s="3" t="s">
        <v>576</v>
      </c>
      <c r="H188">
        <v>1</v>
      </c>
      <c r="I188" s="5">
        <v>70307</v>
      </c>
      <c r="J188">
        <v>0</v>
      </c>
      <c r="K188" s="5">
        <v>70307</v>
      </c>
      <c r="L188" s="5">
        <v>52378.720000000001</v>
      </c>
      <c r="M188" s="5">
        <v>17928.28</v>
      </c>
      <c r="N188">
        <f>YEAR(CleanedSalesData[[#This Row],[OrderDate]])</f>
        <v>2024</v>
      </c>
      <c r="O188">
        <f>MONTH(CleanedSalesData[[#This Row],[OrderDate]])</f>
        <v>7</v>
      </c>
      <c r="P188" t="str">
        <f>TEXT(CleanedSalesData[[#This Row],[OrderDate]], "yyyy-mm")</f>
        <v>2024-07</v>
      </c>
    </row>
    <row r="189" spans="1:16" x14ac:dyDescent="0.3">
      <c r="A189" s="3" t="s">
        <v>203</v>
      </c>
      <c r="B189" s="4">
        <v>45397</v>
      </c>
      <c r="C189" s="3" t="s">
        <v>517</v>
      </c>
      <c r="D189" s="3" t="s">
        <v>536</v>
      </c>
      <c r="E189" s="3" t="s">
        <v>560</v>
      </c>
      <c r="F189" s="3" t="s">
        <v>571</v>
      </c>
      <c r="G189" s="3" t="s">
        <v>574</v>
      </c>
      <c r="H189">
        <v>1</v>
      </c>
      <c r="I189" s="5">
        <v>24004.93</v>
      </c>
      <c r="J189">
        <v>0</v>
      </c>
      <c r="K189" s="5">
        <v>24004.93</v>
      </c>
      <c r="L189" s="5">
        <v>20500.21</v>
      </c>
      <c r="M189" s="5">
        <v>3504.72</v>
      </c>
      <c r="N189">
        <f>YEAR(CleanedSalesData[[#This Row],[OrderDate]])</f>
        <v>2024</v>
      </c>
      <c r="O189">
        <f>MONTH(CleanedSalesData[[#This Row],[OrderDate]])</f>
        <v>4</v>
      </c>
      <c r="P189" t="str">
        <f>TEXT(CleanedSalesData[[#This Row],[OrderDate]], "yyyy-mm")</f>
        <v>2024-04</v>
      </c>
    </row>
    <row r="190" spans="1:16" x14ac:dyDescent="0.3">
      <c r="A190" s="3" t="s">
        <v>204</v>
      </c>
      <c r="B190" s="4">
        <v>45442</v>
      </c>
      <c r="C190" s="3" t="s">
        <v>519</v>
      </c>
      <c r="D190" s="3" t="s">
        <v>526</v>
      </c>
      <c r="E190" s="3" t="s">
        <v>562</v>
      </c>
      <c r="F190" s="3" t="s">
        <v>572</v>
      </c>
      <c r="G190" s="3" t="s">
        <v>577</v>
      </c>
      <c r="H190">
        <v>2</v>
      </c>
      <c r="I190" s="5">
        <v>1864.42</v>
      </c>
      <c r="J190">
        <v>0</v>
      </c>
      <c r="K190" s="5">
        <v>3728.84</v>
      </c>
      <c r="L190" s="5">
        <v>3516.3</v>
      </c>
      <c r="M190" s="5">
        <v>212.54</v>
      </c>
      <c r="N190">
        <f>YEAR(CleanedSalesData[[#This Row],[OrderDate]])</f>
        <v>2024</v>
      </c>
      <c r="O190">
        <f>MONTH(CleanedSalesData[[#This Row],[OrderDate]])</f>
        <v>5</v>
      </c>
      <c r="P190" t="str">
        <f>TEXT(CleanedSalesData[[#This Row],[OrderDate]], "yyyy-mm")</f>
        <v>2024-05</v>
      </c>
    </row>
    <row r="191" spans="1:16" x14ac:dyDescent="0.3">
      <c r="A191" s="3" t="s">
        <v>205</v>
      </c>
      <c r="B191" s="4">
        <v>45697</v>
      </c>
      <c r="C191" s="3" t="s">
        <v>517</v>
      </c>
      <c r="D191" s="3" t="s">
        <v>531</v>
      </c>
      <c r="E191" s="3" t="s">
        <v>551</v>
      </c>
      <c r="F191" s="3" t="s">
        <v>572</v>
      </c>
      <c r="G191" s="3" t="s">
        <v>588</v>
      </c>
      <c r="H191">
        <v>2</v>
      </c>
      <c r="I191" s="5">
        <v>781.08</v>
      </c>
      <c r="J191">
        <v>0.05</v>
      </c>
      <c r="K191" s="5">
        <v>1484.05</v>
      </c>
      <c r="L191" s="5">
        <v>1283.7</v>
      </c>
      <c r="M191" s="5">
        <v>200.35</v>
      </c>
      <c r="N191">
        <f>YEAR(CleanedSalesData[[#This Row],[OrderDate]])</f>
        <v>2025</v>
      </c>
      <c r="O191">
        <f>MONTH(CleanedSalesData[[#This Row],[OrderDate]])</f>
        <v>2</v>
      </c>
      <c r="P191" t="str">
        <f>TEXT(CleanedSalesData[[#This Row],[OrderDate]], "yyyy-mm")</f>
        <v>2025-02</v>
      </c>
    </row>
    <row r="192" spans="1:16" x14ac:dyDescent="0.3">
      <c r="A192" s="3" t="s">
        <v>206</v>
      </c>
      <c r="B192" s="4">
        <v>45635</v>
      </c>
      <c r="C192" s="3" t="s">
        <v>518</v>
      </c>
      <c r="D192" s="3" t="s">
        <v>537</v>
      </c>
      <c r="E192" s="3" t="s">
        <v>561</v>
      </c>
      <c r="F192" s="3" t="s">
        <v>572</v>
      </c>
      <c r="G192" s="3" t="s">
        <v>586</v>
      </c>
      <c r="H192">
        <v>1</v>
      </c>
      <c r="I192" s="5">
        <v>1407.34</v>
      </c>
      <c r="J192">
        <v>0.15</v>
      </c>
      <c r="K192" s="5">
        <v>1196.24</v>
      </c>
      <c r="L192" s="5">
        <v>886.41</v>
      </c>
      <c r="M192" s="5">
        <v>309.83</v>
      </c>
      <c r="N192">
        <f>YEAR(CleanedSalesData[[#This Row],[OrderDate]])</f>
        <v>2024</v>
      </c>
      <c r="O192">
        <f>MONTH(CleanedSalesData[[#This Row],[OrderDate]])</f>
        <v>12</v>
      </c>
      <c r="P192" t="str">
        <f>TEXT(CleanedSalesData[[#This Row],[OrderDate]], "yyyy-mm")</f>
        <v>2024-12</v>
      </c>
    </row>
    <row r="193" spans="1:16" x14ac:dyDescent="0.3">
      <c r="A193" s="3" t="s">
        <v>207</v>
      </c>
      <c r="B193" s="4">
        <v>45772</v>
      </c>
      <c r="C193" s="3" t="s">
        <v>519</v>
      </c>
      <c r="D193" s="3" t="s">
        <v>526</v>
      </c>
      <c r="E193" s="3" t="s">
        <v>562</v>
      </c>
      <c r="F193" s="3" t="s">
        <v>571</v>
      </c>
      <c r="G193" s="3" t="s">
        <v>578</v>
      </c>
      <c r="H193">
        <v>1</v>
      </c>
      <c r="I193" s="5">
        <v>19605.419999999998</v>
      </c>
      <c r="J193">
        <v>0.15</v>
      </c>
      <c r="K193" s="5">
        <v>16664.61</v>
      </c>
      <c r="L193" s="5">
        <v>11448.59</v>
      </c>
      <c r="M193" s="5">
        <v>5216.0200000000004</v>
      </c>
      <c r="N193">
        <f>YEAR(CleanedSalesData[[#This Row],[OrderDate]])</f>
        <v>2025</v>
      </c>
      <c r="O193">
        <f>MONTH(CleanedSalesData[[#This Row],[OrderDate]])</f>
        <v>4</v>
      </c>
      <c r="P193" t="str">
        <f>TEXT(CleanedSalesData[[#This Row],[OrderDate]], "yyyy-mm")</f>
        <v>2025-04</v>
      </c>
    </row>
    <row r="194" spans="1:16" x14ac:dyDescent="0.3">
      <c r="A194" s="3" t="s">
        <v>208</v>
      </c>
      <c r="B194" s="4">
        <v>45832</v>
      </c>
      <c r="C194" s="3" t="s">
        <v>519</v>
      </c>
      <c r="D194" s="3" t="s">
        <v>526</v>
      </c>
      <c r="E194" s="3" t="s">
        <v>543</v>
      </c>
      <c r="F194" s="3" t="s">
        <v>571</v>
      </c>
      <c r="G194" s="3" t="s">
        <v>578</v>
      </c>
      <c r="H194">
        <v>2</v>
      </c>
      <c r="I194" s="5">
        <v>12382.32</v>
      </c>
      <c r="J194">
        <v>0</v>
      </c>
      <c r="K194" s="5">
        <v>24764.639999999999</v>
      </c>
      <c r="L194" s="5">
        <v>17558.13</v>
      </c>
      <c r="M194" s="5">
        <v>7206.51</v>
      </c>
      <c r="N194">
        <f>YEAR(CleanedSalesData[[#This Row],[OrderDate]])</f>
        <v>2025</v>
      </c>
      <c r="O194">
        <f>MONTH(CleanedSalesData[[#This Row],[OrderDate]])</f>
        <v>6</v>
      </c>
      <c r="P194" t="str">
        <f>TEXT(CleanedSalesData[[#This Row],[OrderDate]], "yyyy-mm")</f>
        <v>2025-06</v>
      </c>
    </row>
    <row r="195" spans="1:16" x14ac:dyDescent="0.3">
      <c r="A195" s="3" t="s">
        <v>209</v>
      </c>
      <c r="B195" s="4">
        <v>45760</v>
      </c>
      <c r="C195" s="3" t="s">
        <v>516</v>
      </c>
      <c r="D195" s="3" t="s">
        <v>525</v>
      </c>
      <c r="E195" s="3" t="s">
        <v>542</v>
      </c>
      <c r="F195" s="3" t="s">
        <v>573</v>
      </c>
      <c r="G195" s="3" t="s">
        <v>584</v>
      </c>
      <c r="H195">
        <v>1</v>
      </c>
      <c r="I195" s="5">
        <v>2378.0100000000002</v>
      </c>
      <c r="J195">
        <v>0</v>
      </c>
      <c r="K195" s="5">
        <v>2378.0100000000002</v>
      </c>
      <c r="L195" s="5">
        <v>2133.0700000000002</v>
      </c>
      <c r="M195" s="5">
        <v>244.94</v>
      </c>
      <c r="N195">
        <f>YEAR(CleanedSalesData[[#This Row],[OrderDate]])</f>
        <v>2025</v>
      </c>
      <c r="O195">
        <f>MONTH(CleanedSalesData[[#This Row],[OrderDate]])</f>
        <v>4</v>
      </c>
      <c r="P195" t="str">
        <f>TEXT(CleanedSalesData[[#This Row],[OrderDate]], "yyyy-mm")</f>
        <v>2025-04</v>
      </c>
    </row>
    <row r="196" spans="1:16" x14ac:dyDescent="0.3">
      <c r="A196" s="3" t="s">
        <v>210</v>
      </c>
      <c r="B196" s="4">
        <v>45539</v>
      </c>
      <c r="C196" s="3" t="s">
        <v>518</v>
      </c>
      <c r="D196" s="3" t="s">
        <v>529</v>
      </c>
      <c r="E196" s="3" t="s">
        <v>553</v>
      </c>
      <c r="F196" s="3" t="s">
        <v>571</v>
      </c>
      <c r="G196" s="3" t="s">
        <v>579</v>
      </c>
      <c r="H196">
        <v>2</v>
      </c>
      <c r="I196" s="5">
        <v>30166.84</v>
      </c>
      <c r="J196">
        <v>0</v>
      </c>
      <c r="K196" s="5">
        <v>60333.68</v>
      </c>
      <c r="L196" s="5">
        <v>42716.25</v>
      </c>
      <c r="M196" s="5">
        <v>17617.43</v>
      </c>
      <c r="N196">
        <f>YEAR(CleanedSalesData[[#This Row],[OrderDate]])</f>
        <v>2024</v>
      </c>
      <c r="O196">
        <f>MONTH(CleanedSalesData[[#This Row],[OrderDate]])</f>
        <v>9</v>
      </c>
      <c r="P196" t="str">
        <f>TEXT(CleanedSalesData[[#This Row],[OrderDate]], "yyyy-mm")</f>
        <v>2024-09</v>
      </c>
    </row>
    <row r="197" spans="1:16" x14ac:dyDescent="0.3">
      <c r="A197" s="3" t="s">
        <v>211</v>
      </c>
      <c r="B197" s="4">
        <v>45483</v>
      </c>
      <c r="C197" s="3" t="s">
        <v>516</v>
      </c>
      <c r="D197" s="3" t="s">
        <v>521</v>
      </c>
      <c r="E197" s="3" t="s">
        <v>538</v>
      </c>
      <c r="F197" s="3" t="s">
        <v>573</v>
      </c>
      <c r="G197" s="3" t="s">
        <v>584</v>
      </c>
      <c r="H197">
        <v>5</v>
      </c>
      <c r="I197" s="5">
        <v>13668.54</v>
      </c>
      <c r="J197">
        <v>0</v>
      </c>
      <c r="K197" s="5">
        <v>68342.7</v>
      </c>
      <c r="L197" s="5">
        <v>56451.07</v>
      </c>
      <c r="M197" s="5">
        <v>11891.63</v>
      </c>
      <c r="N197">
        <f>YEAR(CleanedSalesData[[#This Row],[OrderDate]])</f>
        <v>2024</v>
      </c>
      <c r="O197">
        <f>MONTH(CleanedSalesData[[#This Row],[OrderDate]])</f>
        <v>7</v>
      </c>
      <c r="P197" t="str">
        <f>TEXT(CleanedSalesData[[#This Row],[OrderDate]], "yyyy-mm")</f>
        <v>2024-07</v>
      </c>
    </row>
    <row r="198" spans="1:16" x14ac:dyDescent="0.3">
      <c r="A198" s="3" t="s">
        <v>212</v>
      </c>
      <c r="B198" s="4">
        <v>45859</v>
      </c>
      <c r="C198" s="3" t="s">
        <v>516</v>
      </c>
      <c r="D198" s="3" t="s">
        <v>522</v>
      </c>
      <c r="E198" s="3" t="s">
        <v>545</v>
      </c>
      <c r="F198" s="3" t="s">
        <v>571</v>
      </c>
      <c r="G198" s="3" t="s">
        <v>576</v>
      </c>
      <c r="H198">
        <v>1</v>
      </c>
      <c r="I198" s="5">
        <v>78540.039999999994</v>
      </c>
      <c r="J198">
        <v>0</v>
      </c>
      <c r="K198" s="5">
        <v>78540.039999999994</v>
      </c>
      <c r="L198" s="5">
        <v>56313.21</v>
      </c>
      <c r="M198" s="5">
        <v>22226.83</v>
      </c>
      <c r="N198">
        <f>YEAR(CleanedSalesData[[#This Row],[OrderDate]])</f>
        <v>2025</v>
      </c>
      <c r="O198">
        <f>MONTH(CleanedSalesData[[#This Row],[OrderDate]])</f>
        <v>7</v>
      </c>
      <c r="P198" t="str">
        <f>TEXT(CleanedSalesData[[#This Row],[OrderDate]], "yyyy-mm")</f>
        <v>2025-07</v>
      </c>
    </row>
    <row r="199" spans="1:16" x14ac:dyDescent="0.3">
      <c r="A199" s="3" t="s">
        <v>213</v>
      </c>
      <c r="B199" s="4">
        <v>45308</v>
      </c>
      <c r="C199" s="3" t="s">
        <v>520</v>
      </c>
      <c r="D199" s="3" t="s">
        <v>528</v>
      </c>
      <c r="E199" s="3" t="s">
        <v>552</v>
      </c>
      <c r="F199" s="3" t="s">
        <v>571</v>
      </c>
      <c r="G199" s="3" t="s">
        <v>575</v>
      </c>
      <c r="H199">
        <v>1</v>
      </c>
      <c r="I199" s="5">
        <v>62405.61</v>
      </c>
      <c r="J199">
        <v>0</v>
      </c>
      <c r="K199" s="5">
        <v>62405.61</v>
      </c>
      <c r="L199" s="5">
        <v>41874.160000000003</v>
      </c>
      <c r="M199" s="5">
        <v>20531.45</v>
      </c>
      <c r="N199">
        <f>YEAR(CleanedSalesData[[#This Row],[OrderDate]])</f>
        <v>2024</v>
      </c>
      <c r="O199">
        <f>MONTH(CleanedSalesData[[#This Row],[OrderDate]])</f>
        <v>1</v>
      </c>
      <c r="P199" t="str">
        <f>TEXT(CleanedSalesData[[#This Row],[OrderDate]], "yyyy-mm")</f>
        <v>2024-01</v>
      </c>
    </row>
    <row r="200" spans="1:16" x14ac:dyDescent="0.3">
      <c r="A200" s="3" t="s">
        <v>214</v>
      </c>
      <c r="B200" s="4">
        <v>45632</v>
      </c>
      <c r="C200" s="3" t="s">
        <v>518</v>
      </c>
      <c r="D200" s="3" t="s">
        <v>537</v>
      </c>
      <c r="E200" s="3" t="s">
        <v>569</v>
      </c>
      <c r="F200" s="3" t="s">
        <v>573</v>
      </c>
      <c r="G200" s="3" t="s">
        <v>580</v>
      </c>
      <c r="H200">
        <v>3</v>
      </c>
      <c r="I200" s="5">
        <v>20710.7</v>
      </c>
      <c r="J200">
        <v>0.15</v>
      </c>
      <c r="K200" s="5">
        <v>52812.29</v>
      </c>
      <c r="L200" s="5">
        <v>43358.89</v>
      </c>
      <c r="M200" s="5">
        <v>9453.4</v>
      </c>
      <c r="N200">
        <f>YEAR(CleanedSalesData[[#This Row],[OrderDate]])</f>
        <v>2024</v>
      </c>
      <c r="O200">
        <f>MONTH(CleanedSalesData[[#This Row],[OrderDate]])</f>
        <v>12</v>
      </c>
      <c r="P200" t="str">
        <f>TEXT(CleanedSalesData[[#This Row],[OrderDate]], "yyyy-mm")</f>
        <v>2024-12</v>
      </c>
    </row>
    <row r="201" spans="1:16" x14ac:dyDescent="0.3">
      <c r="A201" s="3" t="s">
        <v>215</v>
      </c>
      <c r="B201" s="4">
        <v>45767</v>
      </c>
      <c r="C201" s="3" t="s">
        <v>519</v>
      </c>
      <c r="D201" s="3" t="s">
        <v>533</v>
      </c>
      <c r="E201" s="3" t="s">
        <v>570</v>
      </c>
      <c r="F201" s="3" t="s">
        <v>571</v>
      </c>
      <c r="G201" s="3" t="s">
        <v>576</v>
      </c>
      <c r="H201">
        <v>2</v>
      </c>
      <c r="I201" s="5">
        <v>5847.75</v>
      </c>
      <c r="J201">
        <v>0</v>
      </c>
      <c r="K201" s="5">
        <v>11695.5</v>
      </c>
      <c r="L201" s="5">
        <v>8467.5400000000009</v>
      </c>
      <c r="M201" s="5">
        <v>3227.96</v>
      </c>
      <c r="N201">
        <f>YEAR(CleanedSalesData[[#This Row],[OrderDate]])</f>
        <v>2025</v>
      </c>
      <c r="O201">
        <f>MONTH(CleanedSalesData[[#This Row],[OrderDate]])</f>
        <v>4</v>
      </c>
      <c r="P201" t="str">
        <f>TEXT(CleanedSalesData[[#This Row],[OrderDate]], "yyyy-mm")</f>
        <v>2025-04</v>
      </c>
    </row>
    <row r="202" spans="1:16" x14ac:dyDescent="0.3">
      <c r="A202" s="3" t="s">
        <v>216</v>
      </c>
      <c r="B202" s="4">
        <v>45496</v>
      </c>
      <c r="C202" s="3" t="s">
        <v>516</v>
      </c>
      <c r="D202" s="3" t="s">
        <v>521</v>
      </c>
      <c r="E202" s="3" t="s">
        <v>568</v>
      </c>
      <c r="F202" s="3" t="s">
        <v>573</v>
      </c>
      <c r="G202" s="3" t="s">
        <v>581</v>
      </c>
      <c r="H202">
        <v>1</v>
      </c>
      <c r="I202" s="5">
        <v>24749.82</v>
      </c>
      <c r="J202">
        <v>0</v>
      </c>
      <c r="K202" s="5">
        <v>24749.82</v>
      </c>
      <c r="L202" s="5">
        <v>16805.13</v>
      </c>
      <c r="M202" s="5">
        <v>7944.69</v>
      </c>
      <c r="N202">
        <f>YEAR(CleanedSalesData[[#This Row],[OrderDate]])</f>
        <v>2024</v>
      </c>
      <c r="O202">
        <f>MONTH(CleanedSalesData[[#This Row],[OrderDate]])</f>
        <v>7</v>
      </c>
      <c r="P202" t="str">
        <f>TEXT(CleanedSalesData[[#This Row],[OrderDate]], "yyyy-mm")</f>
        <v>2024-07</v>
      </c>
    </row>
    <row r="203" spans="1:16" x14ac:dyDescent="0.3">
      <c r="A203" s="3" t="s">
        <v>217</v>
      </c>
      <c r="B203" s="4">
        <v>45551</v>
      </c>
      <c r="C203" s="3" t="s">
        <v>516</v>
      </c>
      <c r="D203" s="3" t="s">
        <v>527</v>
      </c>
      <c r="E203" s="3" t="s">
        <v>558</v>
      </c>
      <c r="F203" s="3" t="s">
        <v>572</v>
      </c>
      <c r="G203" s="3" t="s">
        <v>588</v>
      </c>
      <c r="H203">
        <v>1</v>
      </c>
      <c r="I203" s="5">
        <v>1738.31</v>
      </c>
      <c r="J203">
        <v>0</v>
      </c>
      <c r="K203" s="5">
        <v>1738.31</v>
      </c>
      <c r="L203" s="5">
        <v>1220.29</v>
      </c>
      <c r="M203" s="5">
        <v>518.02</v>
      </c>
      <c r="N203">
        <f>YEAR(CleanedSalesData[[#This Row],[OrderDate]])</f>
        <v>2024</v>
      </c>
      <c r="O203">
        <f>MONTH(CleanedSalesData[[#This Row],[OrderDate]])</f>
        <v>9</v>
      </c>
      <c r="P203" t="str">
        <f>TEXT(CleanedSalesData[[#This Row],[OrderDate]], "yyyy-mm")</f>
        <v>2024-09</v>
      </c>
    </row>
    <row r="204" spans="1:16" x14ac:dyDescent="0.3">
      <c r="A204" s="3" t="s">
        <v>218</v>
      </c>
      <c r="B204" s="4">
        <v>45419</v>
      </c>
      <c r="C204" s="3" t="s">
        <v>520</v>
      </c>
      <c r="D204" s="3" t="s">
        <v>535</v>
      </c>
      <c r="E204" s="3" t="s">
        <v>559</v>
      </c>
      <c r="F204" s="3" t="s">
        <v>573</v>
      </c>
      <c r="G204" s="3" t="s">
        <v>581</v>
      </c>
      <c r="H204">
        <v>1</v>
      </c>
      <c r="I204" s="5">
        <v>22576.66</v>
      </c>
      <c r="J204">
        <v>0</v>
      </c>
      <c r="K204" s="5">
        <v>22576.66</v>
      </c>
      <c r="L204" s="5">
        <v>15374.71</v>
      </c>
      <c r="M204" s="5">
        <v>7201.95</v>
      </c>
      <c r="N204">
        <f>YEAR(CleanedSalesData[[#This Row],[OrderDate]])</f>
        <v>2024</v>
      </c>
      <c r="O204">
        <f>MONTH(CleanedSalesData[[#This Row],[OrderDate]])</f>
        <v>5</v>
      </c>
      <c r="P204" t="str">
        <f>TEXT(CleanedSalesData[[#This Row],[OrderDate]], "yyyy-mm")</f>
        <v>2024-05</v>
      </c>
    </row>
    <row r="205" spans="1:16" x14ac:dyDescent="0.3">
      <c r="A205" s="3" t="s">
        <v>219</v>
      </c>
      <c r="B205" s="4">
        <v>45483</v>
      </c>
      <c r="C205" s="3" t="s">
        <v>519</v>
      </c>
      <c r="D205" s="3" t="s">
        <v>534</v>
      </c>
      <c r="E205" s="3" t="s">
        <v>556</v>
      </c>
      <c r="F205" s="3" t="s">
        <v>573</v>
      </c>
      <c r="G205" s="3" t="s">
        <v>580</v>
      </c>
      <c r="H205">
        <v>1</v>
      </c>
      <c r="I205" s="5">
        <v>20426.41</v>
      </c>
      <c r="J205">
        <v>0</v>
      </c>
      <c r="K205" s="5">
        <v>20426.41</v>
      </c>
      <c r="L205" s="5">
        <v>19343.810000000001</v>
      </c>
      <c r="M205" s="5">
        <v>1082.5999999999999</v>
      </c>
      <c r="N205">
        <f>YEAR(CleanedSalesData[[#This Row],[OrderDate]])</f>
        <v>2024</v>
      </c>
      <c r="O205">
        <f>MONTH(CleanedSalesData[[#This Row],[OrderDate]])</f>
        <v>7</v>
      </c>
      <c r="P205" t="str">
        <f>TEXT(CleanedSalesData[[#This Row],[OrderDate]], "yyyy-mm")</f>
        <v>2024-07</v>
      </c>
    </row>
    <row r="206" spans="1:16" x14ac:dyDescent="0.3">
      <c r="A206" s="3" t="s">
        <v>220</v>
      </c>
      <c r="B206" s="4">
        <v>45372</v>
      </c>
      <c r="C206" s="3" t="s">
        <v>519</v>
      </c>
      <c r="D206" s="3" t="s">
        <v>533</v>
      </c>
      <c r="E206" s="3" t="s">
        <v>555</v>
      </c>
      <c r="F206" s="3" t="s">
        <v>572</v>
      </c>
      <c r="G206" s="3" t="s">
        <v>588</v>
      </c>
      <c r="H206">
        <v>3</v>
      </c>
      <c r="I206" s="5">
        <v>206.13</v>
      </c>
      <c r="J206">
        <v>0</v>
      </c>
      <c r="K206" s="5">
        <v>618.39</v>
      </c>
      <c r="L206" s="5">
        <v>570.77</v>
      </c>
      <c r="M206" s="5">
        <v>47.62</v>
      </c>
      <c r="N206">
        <f>YEAR(CleanedSalesData[[#This Row],[OrderDate]])</f>
        <v>2024</v>
      </c>
      <c r="O206">
        <f>MONTH(CleanedSalesData[[#This Row],[OrderDate]])</f>
        <v>3</v>
      </c>
      <c r="P206" t="str">
        <f>TEXT(CleanedSalesData[[#This Row],[OrderDate]], "yyyy-mm")</f>
        <v>2024-03</v>
      </c>
    </row>
    <row r="207" spans="1:16" x14ac:dyDescent="0.3">
      <c r="A207" s="3" t="s">
        <v>221</v>
      </c>
      <c r="B207" s="4">
        <v>45605</v>
      </c>
      <c r="C207" s="3" t="s">
        <v>519</v>
      </c>
      <c r="D207" s="3" t="s">
        <v>534</v>
      </c>
      <c r="E207" s="3" t="s">
        <v>566</v>
      </c>
      <c r="F207" s="3" t="s">
        <v>573</v>
      </c>
      <c r="G207" s="3" t="s">
        <v>581</v>
      </c>
      <c r="H207">
        <v>1</v>
      </c>
      <c r="I207" s="5">
        <v>10085.58</v>
      </c>
      <c r="J207">
        <v>0.1</v>
      </c>
      <c r="K207" s="5">
        <v>9077.02</v>
      </c>
      <c r="L207" s="5">
        <v>6036.22</v>
      </c>
      <c r="M207" s="5">
        <v>3040.8</v>
      </c>
      <c r="N207">
        <f>YEAR(CleanedSalesData[[#This Row],[OrderDate]])</f>
        <v>2024</v>
      </c>
      <c r="O207">
        <f>MONTH(CleanedSalesData[[#This Row],[OrderDate]])</f>
        <v>11</v>
      </c>
      <c r="P207" t="str">
        <f>TEXT(CleanedSalesData[[#This Row],[OrderDate]], "yyyy-mm")</f>
        <v>2024-11</v>
      </c>
    </row>
    <row r="208" spans="1:16" x14ac:dyDescent="0.3">
      <c r="A208" s="3" t="s">
        <v>222</v>
      </c>
      <c r="B208" s="4">
        <v>45737</v>
      </c>
      <c r="C208" s="3" t="s">
        <v>520</v>
      </c>
      <c r="D208" s="3" t="s">
        <v>528</v>
      </c>
      <c r="E208" s="3" t="s">
        <v>547</v>
      </c>
      <c r="F208" s="3" t="s">
        <v>573</v>
      </c>
      <c r="G208" s="3" t="s">
        <v>581</v>
      </c>
      <c r="H208">
        <v>4</v>
      </c>
      <c r="I208" s="5">
        <v>10356.16</v>
      </c>
      <c r="J208">
        <v>0</v>
      </c>
      <c r="K208" s="5">
        <v>41424.639999999999</v>
      </c>
      <c r="L208" s="5">
        <v>32228.37</v>
      </c>
      <c r="M208" s="5">
        <v>9196.27</v>
      </c>
      <c r="N208">
        <f>YEAR(CleanedSalesData[[#This Row],[OrderDate]])</f>
        <v>2025</v>
      </c>
      <c r="O208">
        <f>MONTH(CleanedSalesData[[#This Row],[OrderDate]])</f>
        <v>3</v>
      </c>
      <c r="P208" t="str">
        <f>TEXT(CleanedSalesData[[#This Row],[OrderDate]], "yyyy-mm")</f>
        <v>2025-03</v>
      </c>
    </row>
    <row r="209" spans="1:16" x14ac:dyDescent="0.3">
      <c r="A209" s="3" t="s">
        <v>223</v>
      </c>
      <c r="B209" s="4">
        <v>45455</v>
      </c>
      <c r="C209" s="3" t="s">
        <v>516</v>
      </c>
      <c r="D209" s="3" t="s">
        <v>527</v>
      </c>
      <c r="E209" s="3" t="s">
        <v>558</v>
      </c>
      <c r="F209" s="3" t="s">
        <v>571</v>
      </c>
      <c r="G209" s="3" t="s">
        <v>574</v>
      </c>
      <c r="H209">
        <v>1</v>
      </c>
      <c r="I209" s="5">
        <v>8176.97</v>
      </c>
      <c r="J209">
        <v>0</v>
      </c>
      <c r="K209" s="5">
        <v>8176.97</v>
      </c>
      <c r="L209" s="5">
        <v>6664.23</v>
      </c>
      <c r="M209" s="5">
        <v>1512.74</v>
      </c>
      <c r="N209">
        <f>YEAR(CleanedSalesData[[#This Row],[OrderDate]])</f>
        <v>2024</v>
      </c>
      <c r="O209">
        <f>MONTH(CleanedSalesData[[#This Row],[OrderDate]])</f>
        <v>6</v>
      </c>
      <c r="P209" t="str">
        <f>TEXT(CleanedSalesData[[#This Row],[OrderDate]], "yyyy-mm")</f>
        <v>2024-06</v>
      </c>
    </row>
    <row r="210" spans="1:16" x14ac:dyDescent="0.3">
      <c r="A210" s="3" t="s">
        <v>224</v>
      </c>
      <c r="B210" s="4">
        <v>45667</v>
      </c>
      <c r="C210" s="3" t="s">
        <v>520</v>
      </c>
      <c r="D210" s="3" t="s">
        <v>535</v>
      </c>
      <c r="E210" s="3" t="s">
        <v>565</v>
      </c>
      <c r="F210" s="3" t="s">
        <v>573</v>
      </c>
      <c r="G210" s="3" t="s">
        <v>585</v>
      </c>
      <c r="H210">
        <v>1</v>
      </c>
      <c r="I210" s="5">
        <v>17618.43</v>
      </c>
      <c r="J210">
        <v>0</v>
      </c>
      <c r="K210" s="5">
        <v>17618.43</v>
      </c>
      <c r="L210" s="5">
        <v>14993.28</v>
      </c>
      <c r="M210" s="5">
        <v>2625.15</v>
      </c>
      <c r="N210">
        <f>YEAR(CleanedSalesData[[#This Row],[OrderDate]])</f>
        <v>2025</v>
      </c>
      <c r="O210">
        <f>MONTH(CleanedSalesData[[#This Row],[OrderDate]])</f>
        <v>1</v>
      </c>
      <c r="P210" t="str">
        <f>TEXT(CleanedSalesData[[#This Row],[OrderDate]], "yyyy-mm")</f>
        <v>2025-01</v>
      </c>
    </row>
    <row r="211" spans="1:16" x14ac:dyDescent="0.3">
      <c r="A211" s="3" t="s">
        <v>225</v>
      </c>
      <c r="B211" s="4">
        <v>45672</v>
      </c>
      <c r="C211" s="3" t="s">
        <v>519</v>
      </c>
      <c r="D211" s="3" t="s">
        <v>526</v>
      </c>
      <c r="E211" s="3" t="s">
        <v>562</v>
      </c>
      <c r="F211" s="3" t="s">
        <v>573</v>
      </c>
      <c r="G211" s="3" t="s">
        <v>580</v>
      </c>
      <c r="H211">
        <v>2</v>
      </c>
      <c r="I211" s="5">
        <v>11154.78</v>
      </c>
      <c r="J211">
        <v>0</v>
      </c>
      <c r="K211" s="5">
        <v>22309.56</v>
      </c>
      <c r="L211" s="5">
        <v>16152.12</v>
      </c>
      <c r="M211" s="5">
        <v>6157.44</v>
      </c>
      <c r="N211">
        <f>YEAR(CleanedSalesData[[#This Row],[OrderDate]])</f>
        <v>2025</v>
      </c>
      <c r="O211">
        <f>MONTH(CleanedSalesData[[#This Row],[OrderDate]])</f>
        <v>1</v>
      </c>
      <c r="P211" t="str">
        <f>TEXT(CleanedSalesData[[#This Row],[OrderDate]], "yyyy-mm")</f>
        <v>2025-01</v>
      </c>
    </row>
    <row r="212" spans="1:16" x14ac:dyDescent="0.3">
      <c r="A212" s="3" t="s">
        <v>226</v>
      </c>
      <c r="B212" s="4">
        <v>45547</v>
      </c>
      <c r="C212" s="3" t="s">
        <v>516</v>
      </c>
      <c r="D212" s="3" t="s">
        <v>525</v>
      </c>
      <c r="E212" s="3" t="s">
        <v>557</v>
      </c>
      <c r="F212" s="3" t="s">
        <v>572</v>
      </c>
      <c r="G212" s="3" t="s">
        <v>587</v>
      </c>
      <c r="H212">
        <v>2</v>
      </c>
      <c r="I212" s="5">
        <v>804.63</v>
      </c>
      <c r="J212">
        <v>0</v>
      </c>
      <c r="K212" s="5">
        <v>1609.26</v>
      </c>
      <c r="L212" s="5">
        <v>1147.4000000000001</v>
      </c>
      <c r="M212" s="5">
        <v>461.86</v>
      </c>
      <c r="N212">
        <f>YEAR(CleanedSalesData[[#This Row],[OrderDate]])</f>
        <v>2024</v>
      </c>
      <c r="O212">
        <f>MONTH(CleanedSalesData[[#This Row],[OrderDate]])</f>
        <v>9</v>
      </c>
      <c r="P212" t="str">
        <f>TEXT(CleanedSalesData[[#This Row],[OrderDate]], "yyyy-mm")</f>
        <v>2024-09</v>
      </c>
    </row>
    <row r="213" spans="1:16" x14ac:dyDescent="0.3">
      <c r="A213" s="3" t="s">
        <v>227</v>
      </c>
      <c r="B213" s="4">
        <v>45560</v>
      </c>
      <c r="C213" s="3" t="s">
        <v>520</v>
      </c>
      <c r="D213" s="3" t="s">
        <v>535</v>
      </c>
      <c r="E213" s="3" t="s">
        <v>565</v>
      </c>
      <c r="F213" s="3" t="s">
        <v>573</v>
      </c>
      <c r="G213" s="3" t="s">
        <v>580</v>
      </c>
      <c r="H213">
        <v>1</v>
      </c>
      <c r="I213" s="5">
        <v>17961.55</v>
      </c>
      <c r="J213">
        <v>0</v>
      </c>
      <c r="K213" s="5">
        <v>17961.55</v>
      </c>
      <c r="L213" s="5">
        <v>14405.16</v>
      </c>
      <c r="M213" s="5">
        <v>3556.39</v>
      </c>
      <c r="N213">
        <f>YEAR(CleanedSalesData[[#This Row],[OrderDate]])</f>
        <v>2024</v>
      </c>
      <c r="O213">
        <f>MONTH(CleanedSalesData[[#This Row],[OrderDate]])</f>
        <v>9</v>
      </c>
      <c r="P213" t="str">
        <f>TEXT(CleanedSalesData[[#This Row],[OrderDate]], "yyyy-mm")</f>
        <v>2024-09</v>
      </c>
    </row>
    <row r="214" spans="1:16" x14ac:dyDescent="0.3">
      <c r="A214" s="3" t="s">
        <v>228</v>
      </c>
      <c r="B214" s="4">
        <v>45496</v>
      </c>
      <c r="C214" s="3" t="s">
        <v>516</v>
      </c>
      <c r="D214" s="3" t="s">
        <v>527</v>
      </c>
      <c r="E214" s="3" t="s">
        <v>546</v>
      </c>
      <c r="F214" s="3" t="s">
        <v>572</v>
      </c>
      <c r="G214" s="3" t="s">
        <v>583</v>
      </c>
      <c r="H214">
        <v>1</v>
      </c>
      <c r="I214" s="5">
        <v>1802.42</v>
      </c>
      <c r="J214">
        <v>0</v>
      </c>
      <c r="K214" s="5">
        <v>1802.42</v>
      </c>
      <c r="L214" s="5">
        <v>1414.9</v>
      </c>
      <c r="M214" s="5">
        <v>387.52</v>
      </c>
      <c r="N214">
        <f>YEAR(CleanedSalesData[[#This Row],[OrderDate]])</f>
        <v>2024</v>
      </c>
      <c r="O214">
        <f>MONTH(CleanedSalesData[[#This Row],[OrderDate]])</f>
        <v>7</v>
      </c>
      <c r="P214" t="str">
        <f>TEXT(CleanedSalesData[[#This Row],[OrderDate]], "yyyy-mm")</f>
        <v>2024-07</v>
      </c>
    </row>
    <row r="215" spans="1:16" x14ac:dyDescent="0.3">
      <c r="A215" s="3" t="s">
        <v>229</v>
      </c>
      <c r="B215" s="4">
        <v>45381</v>
      </c>
      <c r="C215" s="3" t="s">
        <v>520</v>
      </c>
      <c r="D215" s="3" t="s">
        <v>535</v>
      </c>
      <c r="E215" s="3" t="s">
        <v>565</v>
      </c>
      <c r="F215" s="3" t="s">
        <v>573</v>
      </c>
      <c r="G215" s="3" t="s">
        <v>584</v>
      </c>
      <c r="H215">
        <v>1</v>
      </c>
      <c r="I215" s="5">
        <v>8678.33</v>
      </c>
      <c r="J215">
        <v>0</v>
      </c>
      <c r="K215" s="5">
        <v>8678.33</v>
      </c>
      <c r="L215" s="5">
        <v>5935.98</v>
      </c>
      <c r="M215" s="5">
        <v>2742.35</v>
      </c>
      <c r="N215">
        <f>YEAR(CleanedSalesData[[#This Row],[OrderDate]])</f>
        <v>2024</v>
      </c>
      <c r="O215">
        <f>MONTH(CleanedSalesData[[#This Row],[OrderDate]])</f>
        <v>3</v>
      </c>
      <c r="P215" t="str">
        <f>TEXT(CleanedSalesData[[#This Row],[OrderDate]], "yyyy-mm")</f>
        <v>2024-03</v>
      </c>
    </row>
    <row r="216" spans="1:16" x14ac:dyDescent="0.3">
      <c r="A216" s="3" t="s">
        <v>230</v>
      </c>
      <c r="B216" s="4">
        <v>45453</v>
      </c>
      <c r="C216" s="3" t="s">
        <v>518</v>
      </c>
      <c r="D216" s="3" t="s">
        <v>529</v>
      </c>
      <c r="E216" s="3" t="s">
        <v>548</v>
      </c>
      <c r="F216" s="3" t="s">
        <v>571</v>
      </c>
      <c r="G216" s="3" t="s">
        <v>574</v>
      </c>
      <c r="H216">
        <v>1</v>
      </c>
      <c r="I216" s="5">
        <v>63989.06</v>
      </c>
      <c r="J216">
        <v>0</v>
      </c>
      <c r="K216" s="5">
        <v>63989.06</v>
      </c>
      <c r="L216" s="5">
        <v>58549.99</v>
      </c>
      <c r="M216" s="5">
        <v>5439.07</v>
      </c>
      <c r="N216">
        <f>YEAR(CleanedSalesData[[#This Row],[OrderDate]])</f>
        <v>2024</v>
      </c>
      <c r="O216">
        <f>MONTH(CleanedSalesData[[#This Row],[OrderDate]])</f>
        <v>6</v>
      </c>
      <c r="P216" t="str">
        <f>TEXT(CleanedSalesData[[#This Row],[OrderDate]], "yyyy-mm")</f>
        <v>2024-06</v>
      </c>
    </row>
    <row r="217" spans="1:16" x14ac:dyDescent="0.3">
      <c r="A217" s="3" t="s">
        <v>231</v>
      </c>
      <c r="B217" s="4">
        <v>45797</v>
      </c>
      <c r="C217" s="3" t="s">
        <v>516</v>
      </c>
      <c r="D217" s="3" t="s">
        <v>521</v>
      </c>
      <c r="E217" s="3" t="s">
        <v>568</v>
      </c>
      <c r="F217" s="3" t="s">
        <v>572</v>
      </c>
      <c r="G217" s="3" t="s">
        <v>587</v>
      </c>
      <c r="H217">
        <v>1</v>
      </c>
      <c r="I217" s="5">
        <v>303.05</v>
      </c>
      <c r="J217">
        <v>0</v>
      </c>
      <c r="K217" s="5">
        <v>303.05</v>
      </c>
      <c r="L217" s="5">
        <v>218.8</v>
      </c>
      <c r="M217" s="5">
        <v>84.25</v>
      </c>
      <c r="N217">
        <f>YEAR(CleanedSalesData[[#This Row],[OrderDate]])</f>
        <v>2025</v>
      </c>
      <c r="O217">
        <f>MONTH(CleanedSalesData[[#This Row],[OrderDate]])</f>
        <v>5</v>
      </c>
      <c r="P217" t="str">
        <f>TEXT(CleanedSalesData[[#This Row],[OrderDate]], "yyyy-mm")</f>
        <v>2025-05</v>
      </c>
    </row>
    <row r="218" spans="1:16" x14ac:dyDescent="0.3">
      <c r="A218" s="3" t="s">
        <v>232</v>
      </c>
      <c r="B218" s="4">
        <v>45359</v>
      </c>
      <c r="C218" s="3" t="s">
        <v>520</v>
      </c>
      <c r="D218" s="3" t="s">
        <v>535</v>
      </c>
      <c r="E218" s="3" t="s">
        <v>559</v>
      </c>
      <c r="F218" s="3" t="s">
        <v>573</v>
      </c>
      <c r="G218" s="3" t="s">
        <v>581</v>
      </c>
      <c r="H218">
        <v>1</v>
      </c>
      <c r="I218" s="5">
        <v>19690.78</v>
      </c>
      <c r="J218">
        <v>0</v>
      </c>
      <c r="K218" s="5">
        <v>19690.78</v>
      </c>
      <c r="L218" s="5">
        <v>18115.52</v>
      </c>
      <c r="M218" s="5">
        <v>1575.26</v>
      </c>
      <c r="N218">
        <f>YEAR(CleanedSalesData[[#This Row],[OrderDate]])</f>
        <v>2024</v>
      </c>
      <c r="O218">
        <f>MONTH(CleanedSalesData[[#This Row],[OrderDate]])</f>
        <v>3</v>
      </c>
      <c r="P218" t="str">
        <f>TEXT(CleanedSalesData[[#This Row],[OrderDate]], "yyyy-mm")</f>
        <v>2024-03</v>
      </c>
    </row>
    <row r="219" spans="1:16" x14ac:dyDescent="0.3">
      <c r="A219" s="3" t="s">
        <v>233</v>
      </c>
      <c r="B219" s="4">
        <v>45367</v>
      </c>
      <c r="C219" s="3" t="s">
        <v>518</v>
      </c>
      <c r="D219" s="3" t="s">
        <v>529</v>
      </c>
      <c r="E219" s="3" t="s">
        <v>548</v>
      </c>
      <c r="F219" s="3" t="s">
        <v>572</v>
      </c>
      <c r="G219" s="3" t="s">
        <v>586</v>
      </c>
      <c r="H219">
        <v>1</v>
      </c>
      <c r="I219" s="5">
        <v>1376.21</v>
      </c>
      <c r="J219">
        <v>0</v>
      </c>
      <c r="K219" s="5">
        <v>1376.21</v>
      </c>
      <c r="L219" s="5">
        <v>1018.4</v>
      </c>
      <c r="M219" s="5">
        <v>357.81</v>
      </c>
      <c r="N219">
        <f>YEAR(CleanedSalesData[[#This Row],[OrderDate]])</f>
        <v>2024</v>
      </c>
      <c r="O219">
        <f>MONTH(CleanedSalesData[[#This Row],[OrderDate]])</f>
        <v>3</v>
      </c>
      <c r="P219" t="str">
        <f>TEXT(CleanedSalesData[[#This Row],[OrderDate]], "yyyy-mm")</f>
        <v>2024-03</v>
      </c>
    </row>
    <row r="220" spans="1:16" x14ac:dyDescent="0.3">
      <c r="A220" s="3" t="s">
        <v>234</v>
      </c>
      <c r="B220" s="4">
        <v>45856</v>
      </c>
      <c r="C220" s="3" t="s">
        <v>517</v>
      </c>
      <c r="D220" s="3" t="s">
        <v>523</v>
      </c>
      <c r="E220" s="3" t="s">
        <v>544</v>
      </c>
      <c r="F220" s="3" t="s">
        <v>572</v>
      </c>
      <c r="G220" s="3" t="s">
        <v>587</v>
      </c>
      <c r="H220">
        <v>1</v>
      </c>
      <c r="I220" s="5">
        <v>1825.89</v>
      </c>
      <c r="J220">
        <v>0.05</v>
      </c>
      <c r="K220" s="5">
        <v>1734.6</v>
      </c>
      <c r="L220" s="5">
        <v>1219.42</v>
      </c>
      <c r="M220" s="5">
        <v>515.17999999999995</v>
      </c>
      <c r="N220">
        <f>YEAR(CleanedSalesData[[#This Row],[OrderDate]])</f>
        <v>2025</v>
      </c>
      <c r="O220">
        <f>MONTH(CleanedSalesData[[#This Row],[OrderDate]])</f>
        <v>7</v>
      </c>
      <c r="P220" t="str">
        <f>TEXT(CleanedSalesData[[#This Row],[OrderDate]], "yyyy-mm")</f>
        <v>2025-07</v>
      </c>
    </row>
    <row r="221" spans="1:16" x14ac:dyDescent="0.3">
      <c r="A221" s="3" t="s">
        <v>235</v>
      </c>
      <c r="B221" s="4">
        <v>45822</v>
      </c>
      <c r="C221" s="3" t="s">
        <v>518</v>
      </c>
      <c r="D221" s="3" t="s">
        <v>529</v>
      </c>
      <c r="E221" s="3" t="s">
        <v>548</v>
      </c>
      <c r="F221" s="3" t="s">
        <v>571</v>
      </c>
      <c r="G221" s="3" t="s">
        <v>578</v>
      </c>
      <c r="H221">
        <v>2</v>
      </c>
      <c r="I221" s="5">
        <v>74974.81</v>
      </c>
      <c r="J221">
        <v>0</v>
      </c>
      <c r="K221" s="5">
        <v>149949.62</v>
      </c>
      <c r="L221" s="5">
        <v>138853.35</v>
      </c>
      <c r="M221" s="5">
        <v>11096.27</v>
      </c>
      <c r="N221">
        <f>YEAR(CleanedSalesData[[#This Row],[OrderDate]])</f>
        <v>2025</v>
      </c>
      <c r="O221">
        <f>MONTH(CleanedSalesData[[#This Row],[OrderDate]])</f>
        <v>6</v>
      </c>
      <c r="P221" t="str">
        <f>TEXT(CleanedSalesData[[#This Row],[OrderDate]], "yyyy-mm")</f>
        <v>2025-06</v>
      </c>
    </row>
    <row r="222" spans="1:16" x14ac:dyDescent="0.3">
      <c r="A222" s="3" t="s">
        <v>236</v>
      </c>
      <c r="B222" s="4">
        <v>45823</v>
      </c>
      <c r="C222" s="3" t="s">
        <v>520</v>
      </c>
      <c r="D222" s="3" t="s">
        <v>528</v>
      </c>
      <c r="E222" s="3" t="s">
        <v>552</v>
      </c>
      <c r="F222" s="3" t="s">
        <v>571</v>
      </c>
      <c r="G222" s="3" t="s">
        <v>579</v>
      </c>
      <c r="H222">
        <v>1</v>
      </c>
      <c r="I222" s="5">
        <v>24132.73</v>
      </c>
      <c r="J222">
        <v>0</v>
      </c>
      <c r="K222" s="5">
        <v>24132.73</v>
      </c>
      <c r="L222" s="5">
        <v>15782.81</v>
      </c>
      <c r="M222" s="5">
        <v>8349.92</v>
      </c>
      <c r="N222">
        <f>YEAR(CleanedSalesData[[#This Row],[OrderDate]])</f>
        <v>2025</v>
      </c>
      <c r="O222">
        <f>MONTH(CleanedSalesData[[#This Row],[OrderDate]])</f>
        <v>6</v>
      </c>
      <c r="P222" t="str">
        <f>TEXT(CleanedSalesData[[#This Row],[OrderDate]], "yyyy-mm")</f>
        <v>2025-06</v>
      </c>
    </row>
    <row r="223" spans="1:16" x14ac:dyDescent="0.3">
      <c r="A223" s="3" t="s">
        <v>237</v>
      </c>
      <c r="B223" s="4">
        <v>45838</v>
      </c>
      <c r="C223" s="3" t="s">
        <v>516</v>
      </c>
      <c r="D223" s="3" t="s">
        <v>527</v>
      </c>
      <c r="E223" s="3" t="s">
        <v>546</v>
      </c>
      <c r="F223" s="3" t="s">
        <v>571</v>
      </c>
      <c r="G223" s="3" t="s">
        <v>579</v>
      </c>
      <c r="H223">
        <v>1</v>
      </c>
      <c r="I223" s="5">
        <v>58488.72</v>
      </c>
      <c r="J223">
        <v>0</v>
      </c>
      <c r="K223" s="5">
        <v>58488.72</v>
      </c>
      <c r="L223" s="5">
        <v>49072.04</v>
      </c>
      <c r="M223" s="5">
        <v>9416.68</v>
      </c>
      <c r="N223">
        <f>YEAR(CleanedSalesData[[#This Row],[OrderDate]])</f>
        <v>2025</v>
      </c>
      <c r="O223">
        <f>MONTH(CleanedSalesData[[#This Row],[OrderDate]])</f>
        <v>6</v>
      </c>
      <c r="P223" t="str">
        <f>TEXT(CleanedSalesData[[#This Row],[OrderDate]], "yyyy-mm")</f>
        <v>2025-06</v>
      </c>
    </row>
    <row r="224" spans="1:16" x14ac:dyDescent="0.3">
      <c r="A224" s="3" t="s">
        <v>238</v>
      </c>
      <c r="B224" s="4">
        <v>45869</v>
      </c>
      <c r="C224" s="3" t="s">
        <v>516</v>
      </c>
      <c r="D224" s="3" t="s">
        <v>525</v>
      </c>
      <c r="E224" s="3" t="s">
        <v>557</v>
      </c>
      <c r="F224" s="3" t="s">
        <v>571</v>
      </c>
      <c r="G224" s="3" t="s">
        <v>579</v>
      </c>
      <c r="H224">
        <v>2</v>
      </c>
      <c r="I224" s="5">
        <v>23378.5</v>
      </c>
      <c r="J224">
        <v>0</v>
      </c>
      <c r="K224" s="5">
        <v>46757</v>
      </c>
      <c r="L224" s="5">
        <v>31140.16</v>
      </c>
      <c r="M224" s="5">
        <v>15616.84</v>
      </c>
      <c r="N224">
        <f>YEAR(CleanedSalesData[[#This Row],[OrderDate]])</f>
        <v>2025</v>
      </c>
      <c r="O224">
        <f>MONTH(CleanedSalesData[[#This Row],[OrderDate]])</f>
        <v>7</v>
      </c>
      <c r="P224" t="str">
        <f>TEXT(CleanedSalesData[[#This Row],[OrderDate]], "yyyy-mm")</f>
        <v>2025-07</v>
      </c>
    </row>
    <row r="225" spans="1:16" x14ac:dyDescent="0.3">
      <c r="A225" s="3" t="s">
        <v>239</v>
      </c>
      <c r="B225" s="4">
        <v>45877</v>
      </c>
      <c r="C225" s="3" t="s">
        <v>519</v>
      </c>
      <c r="D225" s="3" t="s">
        <v>526</v>
      </c>
      <c r="E225" s="3" t="s">
        <v>543</v>
      </c>
      <c r="F225" s="3" t="s">
        <v>573</v>
      </c>
      <c r="G225" s="3" t="s">
        <v>584</v>
      </c>
      <c r="H225">
        <v>5</v>
      </c>
      <c r="I225" s="5">
        <v>8662.4500000000007</v>
      </c>
      <c r="J225">
        <v>0</v>
      </c>
      <c r="K225" s="5">
        <v>43312.25</v>
      </c>
      <c r="L225" s="5">
        <v>31358.07</v>
      </c>
      <c r="M225" s="5">
        <v>11954.18</v>
      </c>
      <c r="N225">
        <f>YEAR(CleanedSalesData[[#This Row],[OrderDate]])</f>
        <v>2025</v>
      </c>
      <c r="O225">
        <f>MONTH(CleanedSalesData[[#This Row],[OrderDate]])</f>
        <v>8</v>
      </c>
      <c r="P225" t="str">
        <f>TEXT(CleanedSalesData[[#This Row],[OrderDate]], "yyyy-mm")</f>
        <v>2025-08</v>
      </c>
    </row>
    <row r="226" spans="1:16" x14ac:dyDescent="0.3">
      <c r="A226" s="3" t="s">
        <v>240</v>
      </c>
      <c r="B226" s="4">
        <v>45786</v>
      </c>
      <c r="C226" s="3" t="s">
        <v>518</v>
      </c>
      <c r="D226" s="3" t="s">
        <v>524</v>
      </c>
      <c r="E226" s="3" t="s">
        <v>541</v>
      </c>
      <c r="F226" s="3" t="s">
        <v>572</v>
      </c>
      <c r="G226" s="3" t="s">
        <v>586</v>
      </c>
      <c r="H226">
        <v>1</v>
      </c>
      <c r="I226" s="5">
        <v>192.3</v>
      </c>
      <c r="J226">
        <v>0.1</v>
      </c>
      <c r="K226" s="5">
        <v>173.07</v>
      </c>
      <c r="L226" s="5">
        <v>160.09</v>
      </c>
      <c r="M226" s="5">
        <v>12.98</v>
      </c>
      <c r="N226">
        <f>YEAR(CleanedSalesData[[#This Row],[OrderDate]])</f>
        <v>2025</v>
      </c>
      <c r="O226">
        <f>MONTH(CleanedSalesData[[#This Row],[OrderDate]])</f>
        <v>5</v>
      </c>
      <c r="P226" t="str">
        <f>TEXT(CleanedSalesData[[#This Row],[OrderDate]], "yyyy-mm")</f>
        <v>2025-05</v>
      </c>
    </row>
    <row r="227" spans="1:16" x14ac:dyDescent="0.3">
      <c r="A227" s="3" t="s">
        <v>241</v>
      </c>
      <c r="B227" s="4">
        <v>45717</v>
      </c>
      <c r="C227" s="3" t="s">
        <v>519</v>
      </c>
      <c r="D227" s="3" t="s">
        <v>534</v>
      </c>
      <c r="E227" s="3" t="s">
        <v>566</v>
      </c>
      <c r="F227" s="3" t="s">
        <v>572</v>
      </c>
      <c r="G227" s="3" t="s">
        <v>587</v>
      </c>
      <c r="H227">
        <v>2</v>
      </c>
      <c r="I227" s="5">
        <v>330.15</v>
      </c>
      <c r="J227">
        <v>0</v>
      </c>
      <c r="K227" s="5">
        <v>660.3</v>
      </c>
      <c r="L227" s="5">
        <v>516.35</v>
      </c>
      <c r="M227" s="5">
        <v>143.94999999999999</v>
      </c>
      <c r="N227">
        <f>YEAR(CleanedSalesData[[#This Row],[OrderDate]])</f>
        <v>2025</v>
      </c>
      <c r="O227">
        <f>MONTH(CleanedSalesData[[#This Row],[OrderDate]])</f>
        <v>3</v>
      </c>
      <c r="P227" t="str">
        <f>TEXT(CleanedSalesData[[#This Row],[OrderDate]], "yyyy-mm")</f>
        <v>2025-03</v>
      </c>
    </row>
    <row r="228" spans="1:16" x14ac:dyDescent="0.3">
      <c r="A228" s="3" t="s">
        <v>242</v>
      </c>
      <c r="B228" s="4">
        <v>45618</v>
      </c>
      <c r="C228" s="3" t="s">
        <v>520</v>
      </c>
      <c r="D228" s="3" t="s">
        <v>535</v>
      </c>
      <c r="E228" s="3" t="s">
        <v>565</v>
      </c>
      <c r="F228" s="3" t="s">
        <v>572</v>
      </c>
      <c r="G228" s="3" t="s">
        <v>587</v>
      </c>
      <c r="H228">
        <v>1</v>
      </c>
      <c r="I228" s="5">
        <v>1145.22</v>
      </c>
      <c r="J228">
        <v>0</v>
      </c>
      <c r="K228" s="5">
        <v>1145.22</v>
      </c>
      <c r="L228" s="5">
        <v>776.46</v>
      </c>
      <c r="M228" s="5">
        <v>368.76</v>
      </c>
      <c r="N228">
        <f>YEAR(CleanedSalesData[[#This Row],[OrderDate]])</f>
        <v>2024</v>
      </c>
      <c r="O228">
        <f>MONTH(CleanedSalesData[[#This Row],[OrderDate]])</f>
        <v>11</v>
      </c>
      <c r="P228" t="str">
        <f>TEXT(CleanedSalesData[[#This Row],[OrderDate]], "yyyy-mm")</f>
        <v>2024-11</v>
      </c>
    </row>
    <row r="229" spans="1:16" x14ac:dyDescent="0.3">
      <c r="A229" s="3" t="s">
        <v>243</v>
      </c>
      <c r="B229" s="4">
        <v>45769</v>
      </c>
      <c r="C229" s="3" t="s">
        <v>516</v>
      </c>
      <c r="D229" s="3" t="s">
        <v>521</v>
      </c>
      <c r="E229" s="3" t="s">
        <v>568</v>
      </c>
      <c r="F229" s="3" t="s">
        <v>571</v>
      </c>
      <c r="G229" s="3" t="s">
        <v>574</v>
      </c>
      <c r="H229">
        <v>1</v>
      </c>
      <c r="I229" s="5">
        <v>10454.5</v>
      </c>
      <c r="J229">
        <v>0</v>
      </c>
      <c r="K229" s="5">
        <v>10454.5</v>
      </c>
      <c r="L229" s="5">
        <v>8384.51</v>
      </c>
      <c r="M229" s="5">
        <v>2069.9899999999998</v>
      </c>
      <c r="N229">
        <f>YEAR(CleanedSalesData[[#This Row],[OrderDate]])</f>
        <v>2025</v>
      </c>
      <c r="O229">
        <f>MONTH(CleanedSalesData[[#This Row],[OrderDate]])</f>
        <v>4</v>
      </c>
      <c r="P229" t="str">
        <f>TEXT(CleanedSalesData[[#This Row],[OrderDate]], "yyyy-mm")</f>
        <v>2025-04</v>
      </c>
    </row>
    <row r="230" spans="1:16" x14ac:dyDescent="0.3">
      <c r="A230" s="3" t="s">
        <v>244</v>
      </c>
      <c r="B230" s="4">
        <v>45685</v>
      </c>
      <c r="C230" s="3" t="s">
        <v>517</v>
      </c>
      <c r="D230" s="3" t="s">
        <v>530</v>
      </c>
      <c r="E230" s="3" t="s">
        <v>567</v>
      </c>
      <c r="F230" s="3" t="s">
        <v>571</v>
      </c>
      <c r="G230" s="3" t="s">
        <v>578</v>
      </c>
      <c r="H230">
        <v>1</v>
      </c>
      <c r="I230" s="5">
        <v>74898.87</v>
      </c>
      <c r="J230">
        <v>0</v>
      </c>
      <c r="K230" s="5">
        <v>74898.87</v>
      </c>
      <c r="L230" s="5">
        <v>60593.19</v>
      </c>
      <c r="M230" s="5">
        <v>14305.68</v>
      </c>
      <c r="N230">
        <f>YEAR(CleanedSalesData[[#This Row],[OrderDate]])</f>
        <v>2025</v>
      </c>
      <c r="O230">
        <f>MONTH(CleanedSalesData[[#This Row],[OrderDate]])</f>
        <v>1</v>
      </c>
      <c r="P230" t="str">
        <f>TEXT(CleanedSalesData[[#This Row],[OrderDate]], "yyyy-mm")</f>
        <v>2025-01</v>
      </c>
    </row>
    <row r="231" spans="1:16" x14ac:dyDescent="0.3">
      <c r="A231" s="3" t="s">
        <v>245</v>
      </c>
      <c r="B231" s="4">
        <v>45486</v>
      </c>
      <c r="C231" s="3" t="s">
        <v>518</v>
      </c>
      <c r="D231" s="3" t="s">
        <v>529</v>
      </c>
      <c r="E231" s="3" t="s">
        <v>553</v>
      </c>
      <c r="F231" s="3" t="s">
        <v>572</v>
      </c>
      <c r="G231" s="3" t="s">
        <v>577</v>
      </c>
      <c r="H231">
        <v>1</v>
      </c>
      <c r="I231" s="5">
        <v>1019.87</v>
      </c>
      <c r="J231">
        <v>0.1</v>
      </c>
      <c r="K231" s="5">
        <v>917.88</v>
      </c>
      <c r="L231" s="5">
        <v>838.94</v>
      </c>
      <c r="M231" s="5">
        <v>78.94</v>
      </c>
      <c r="N231">
        <f>YEAR(CleanedSalesData[[#This Row],[OrderDate]])</f>
        <v>2024</v>
      </c>
      <c r="O231">
        <f>MONTH(CleanedSalesData[[#This Row],[OrderDate]])</f>
        <v>7</v>
      </c>
      <c r="P231" t="str">
        <f>TEXT(CleanedSalesData[[#This Row],[OrderDate]], "yyyy-mm")</f>
        <v>2024-07</v>
      </c>
    </row>
    <row r="232" spans="1:16" x14ac:dyDescent="0.3">
      <c r="A232" s="3" t="s">
        <v>246</v>
      </c>
      <c r="B232" s="4">
        <v>45809</v>
      </c>
      <c r="C232" s="3" t="s">
        <v>519</v>
      </c>
      <c r="D232" s="3" t="s">
        <v>533</v>
      </c>
      <c r="E232" s="3" t="s">
        <v>570</v>
      </c>
      <c r="F232" s="3" t="s">
        <v>573</v>
      </c>
      <c r="G232" s="3" t="s">
        <v>580</v>
      </c>
      <c r="H232">
        <v>1</v>
      </c>
      <c r="I232" s="5">
        <v>3119.14</v>
      </c>
      <c r="J232">
        <v>0</v>
      </c>
      <c r="K232" s="5">
        <v>3119.14</v>
      </c>
      <c r="L232" s="5">
        <v>2354.9499999999998</v>
      </c>
      <c r="M232" s="5">
        <v>764.19</v>
      </c>
      <c r="N232">
        <f>YEAR(CleanedSalesData[[#This Row],[OrderDate]])</f>
        <v>2025</v>
      </c>
      <c r="O232">
        <f>MONTH(CleanedSalesData[[#This Row],[OrderDate]])</f>
        <v>6</v>
      </c>
      <c r="P232" t="str">
        <f>TEXT(CleanedSalesData[[#This Row],[OrderDate]], "yyyy-mm")</f>
        <v>2025-06</v>
      </c>
    </row>
    <row r="233" spans="1:16" x14ac:dyDescent="0.3">
      <c r="A233" s="3" t="s">
        <v>247</v>
      </c>
      <c r="B233" s="4">
        <v>45773</v>
      </c>
      <c r="C233" s="3" t="s">
        <v>520</v>
      </c>
      <c r="D233" s="3" t="s">
        <v>528</v>
      </c>
      <c r="E233" s="3" t="s">
        <v>547</v>
      </c>
      <c r="F233" s="3" t="s">
        <v>572</v>
      </c>
      <c r="G233" s="3" t="s">
        <v>583</v>
      </c>
      <c r="H233">
        <v>2</v>
      </c>
      <c r="I233" s="5">
        <v>1770.79</v>
      </c>
      <c r="J233">
        <v>0</v>
      </c>
      <c r="K233" s="5">
        <v>3541.58</v>
      </c>
      <c r="L233" s="5">
        <v>2744.72</v>
      </c>
      <c r="M233" s="5">
        <v>796.86</v>
      </c>
      <c r="N233">
        <f>YEAR(CleanedSalesData[[#This Row],[OrderDate]])</f>
        <v>2025</v>
      </c>
      <c r="O233">
        <f>MONTH(CleanedSalesData[[#This Row],[OrderDate]])</f>
        <v>4</v>
      </c>
      <c r="P233" t="str">
        <f>TEXT(CleanedSalesData[[#This Row],[OrderDate]], "yyyy-mm")</f>
        <v>2025-04</v>
      </c>
    </row>
    <row r="234" spans="1:16" x14ac:dyDescent="0.3">
      <c r="A234" s="3" t="s">
        <v>248</v>
      </c>
      <c r="B234" s="4">
        <v>45704</v>
      </c>
      <c r="C234" s="3" t="s">
        <v>520</v>
      </c>
      <c r="D234" s="3" t="s">
        <v>528</v>
      </c>
      <c r="E234" s="3" t="s">
        <v>552</v>
      </c>
      <c r="F234" s="3" t="s">
        <v>571</v>
      </c>
      <c r="G234" s="3" t="s">
        <v>579</v>
      </c>
      <c r="H234">
        <v>4</v>
      </c>
      <c r="I234" s="5">
        <v>46259.9</v>
      </c>
      <c r="J234">
        <v>0</v>
      </c>
      <c r="K234" s="5">
        <v>185039.6</v>
      </c>
      <c r="L234" s="5">
        <v>155063.18</v>
      </c>
      <c r="M234" s="5">
        <v>29976.42</v>
      </c>
      <c r="N234">
        <f>YEAR(CleanedSalesData[[#This Row],[OrderDate]])</f>
        <v>2025</v>
      </c>
      <c r="O234">
        <f>MONTH(CleanedSalesData[[#This Row],[OrderDate]])</f>
        <v>2</v>
      </c>
      <c r="P234" t="str">
        <f>TEXT(CleanedSalesData[[#This Row],[OrderDate]], "yyyy-mm")</f>
        <v>2025-02</v>
      </c>
    </row>
    <row r="235" spans="1:16" x14ac:dyDescent="0.3">
      <c r="A235" s="3" t="s">
        <v>249</v>
      </c>
      <c r="B235" s="4">
        <v>45587</v>
      </c>
      <c r="C235" s="3" t="s">
        <v>516</v>
      </c>
      <c r="D235" s="3" t="s">
        <v>522</v>
      </c>
      <c r="E235" s="3" t="s">
        <v>545</v>
      </c>
      <c r="F235" s="3" t="s">
        <v>573</v>
      </c>
      <c r="G235" s="3" t="s">
        <v>580</v>
      </c>
      <c r="H235">
        <v>1</v>
      </c>
      <c r="I235" s="5">
        <v>20982.16</v>
      </c>
      <c r="J235">
        <v>0</v>
      </c>
      <c r="K235" s="5">
        <v>20982.16</v>
      </c>
      <c r="L235" s="5">
        <v>14456.71</v>
      </c>
      <c r="M235" s="5">
        <v>6525.45</v>
      </c>
      <c r="N235">
        <f>YEAR(CleanedSalesData[[#This Row],[OrderDate]])</f>
        <v>2024</v>
      </c>
      <c r="O235">
        <f>MONTH(CleanedSalesData[[#This Row],[OrderDate]])</f>
        <v>10</v>
      </c>
      <c r="P235" t="str">
        <f>TEXT(CleanedSalesData[[#This Row],[OrderDate]], "yyyy-mm")</f>
        <v>2024-10</v>
      </c>
    </row>
    <row r="236" spans="1:16" x14ac:dyDescent="0.3">
      <c r="A236" s="3" t="s">
        <v>250</v>
      </c>
      <c r="B236" s="4">
        <v>45413</v>
      </c>
      <c r="C236" s="3" t="s">
        <v>518</v>
      </c>
      <c r="D236" s="3" t="s">
        <v>537</v>
      </c>
      <c r="E236" s="3" t="s">
        <v>569</v>
      </c>
      <c r="F236" s="3" t="s">
        <v>572</v>
      </c>
      <c r="G236" s="3" t="s">
        <v>577</v>
      </c>
      <c r="H236">
        <v>1</v>
      </c>
      <c r="I236" s="5">
        <v>1137.77</v>
      </c>
      <c r="J236">
        <v>0</v>
      </c>
      <c r="K236" s="5">
        <v>1137.77</v>
      </c>
      <c r="L236" s="5">
        <v>752.07</v>
      </c>
      <c r="M236" s="5">
        <v>385.7</v>
      </c>
      <c r="N236">
        <f>YEAR(CleanedSalesData[[#This Row],[OrderDate]])</f>
        <v>2024</v>
      </c>
      <c r="O236">
        <f>MONTH(CleanedSalesData[[#This Row],[OrderDate]])</f>
        <v>5</v>
      </c>
      <c r="P236" t="str">
        <f>TEXT(CleanedSalesData[[#This Row],[OrderDate]], "yyyy-mm")</f>
        <v>2024-05</v>
      </c>
    </row>
    <row r="237" spans="1:16" x14ac:dyDescent="0.3">
      <c r="A237" s="3" t="s">
        <v>251</v>
      </c>
      <c r="B237" s="4">
        <v>45439</v>
      </c>
      <c r="C237" s="3" t="s">
        <v>518</v>
      </c>
      <c r="D237" s="3" t="s">
        <v>524</v>
      </c>
      <c r="E237" s="3" t="s">
        <v>541</v>
      </c>
      <c r="F237" s="3" t="s">
        <v>573</v>
      </c>
      <c r="G237" s="3" t="s">
        <v>582</v>
      </c>
      <c r="H237">
        <v>1</v>
      </c>
      <c r="I237" s="5">
        <v>3041.98</v>
      </c>
      <c r="J237">
        <v>0.1</v>
      </c>
      <c r="K237" s="5">
        <v>2737.78</v>
      </c>
      <c r="L237" s="5">
        <v>1804.2</v>
      </c>
      <c r="M237" s="5">
        <v>933.58</v>
      </c>
      <c r="N237">
        <f>YEAR(CleanedSalesData[[#This Row],[OrderDate]])</f>
        <v>2024</v>
      </c>
      <c r="O237">
        <f>MONTH(CleanedSalesData[[#This Row],[OrderDate]])</f>
        <v>5</v>
      </c>
      <c r="P237" t="str">
        <f>TEXT(CleanedSalesData[[#This Row],[OrderDate]], "yyyy-mm")</f>
        <v>2024-05</v>
      </c>
    </row>
    <row r="238" spans="1:16" x14ac:dyDescent="0.3">
      <c r="A238" s="3" t="s">
        <v>252</v>
      </c>
      <c r="B238" s="4">
        <v>45777</v>
      </c>
      <c r="C238" s="3" t="s">
        <v>517</v>
      </c>
      <c r="D238" s="3" t="s">
        <v>530</v>
      </c>
      <c r="E238" s="3" t="s">
        <v>567</v>
      </c>
      <c r="F238" s="3" t="s">
        <v>573</v>
      </c>
      <c r="G238" s="3" t="s">
        <v>584</v>
      </c>
      <c r="H238">
        <v>1</v>
      </c>
      <c r="I238" s="5">
        <v>5214.96</v>
      </c>
      <c r="J238">
        <v>0</v>
      </c>
      <c r="K238" s="5">
        <v>5214.96</v>
      </c>
      <c r="L238" s="5">
        <v>3561.82</v>
      </c>
      <c r="M238" s="5">
        <v>1653.14</v>
      </c>
      <c r="N238">
        <f>YEAR(CleanedSalesData[[#This Row],[OrderDate]])</f>
        <v>2025</v>
      </c>
      <c r="O238">
        <f>MONTH(CleanedSalesData[[#This Row],[OrderDate]])</f>
        <v>4</v>
      </c>
      <c r="P238" t="str">
        <f>TEXT(CleanedSalesData[[#This Row],[OrderDate]], "yyyy-mm")</f>
        <v>2025-04</v>
      </c>
    </row>
    <row r="239" spans="1:16" x14ac:dyDescent="0.3">
      <c r="A239" s="3" t="s">
        <v>253</v>
      </c>
      <c r="B239" s="4">
        <v>45618</v>
      </c>
      <c r="C239" s="3" t="s">
        <v>518</v>
      </c>
      <c r="D239" s="3" t="s">
        <v>529</v>
      </c>
      <c r="E239" s="3" t="s">
        <v>553</v>
      </c>
      <c r="F239" s="3" t="s">
        <v>573</v>
      </c>
      <c r="G239" s="3" t="s">
        <v>580</v>
      </c>
      <c r="H239">
        <v>1</v>
      </c>
      <c r="I239" s="5">
        <v>13668.24</v>
      </c>
      <c r="J239">
        <v>0</v>
      </c>
      <c r="K239" s="5">
        <v>13668.24</v>
      </c>
      <c r="L239" s="5">
        <v>8911.69</v>
      </c>
      <c r="M239" s="5">
        <v>4756.55</v>
      </c>
      <c r="N239">
        <f>YEAR(CleanedSalesData[[#This Row],[OrderDate]])</f>
        <v>2024</v>
      </c>
      <c r="O239">
        <f>MONTH(CleanedSalesData[[#This Row],[OrderDate]])</f>
        <v>11</v>
      </c>
      <c r="P239" t="str">
        <f>TEXT(CleanedSalesData[[#This Row],[OrderDate]], "yyyy-mm")</f>
        <v>2024-11</v>
      </c>
    </row>
    <row r="240" spans="1:16" x14ac:dyDescent="0.3">
      <c r="A240" s="3" t="s">
        <v>254</v>
      </c>
      <c r="B240" s="4">
        <v>45793</v>
      </c>
      <c r="C240" s="3" t="s">
        <v>517</v>
      </c>
      <c r="D240" s="3" t="s">
        <v>531</v>
      </c>
      <c r="E240" s="3" t="s">
        <v>563</v>
      </c>
      <c r="F240" s="3" t="s">
        <v>571</v>
      </c>
      <c r="G240" s="3" t="s">
        <v>578</v>
      </c>
      <c r="H240">
        <v>1</v>
      </c>
      <c r="I240" s="5">
        <v>28505.45</v>
      </c>
      <c r="J240">
        <v>0.1</v>
      </c>
      <c r="K240" s="5">
        <v>25654.91</v>
      </c>
      <c r="L240" s="5">
        <v>20113.45</v>
      </c>
      <c r="M240" s="5">
        <v>5541.46</v>
      </c>
      <c r="N240">
        <f>YEAR(CleanedSalesData[[#This Row],[OrderDate]])</f>
        <v>2025</v>
      </c>
      <c r="O240">
        <f>MONTH(CleanedSalesData[[#This Row],[OrderDate]])</f>
        <v>5</v>
      </c>
      <c r="P240" t="str">
        <f>TEXT(CleanedSalesData[[#This Row],[OrderDate]], "yyyy-mm")</f>
        <v>2025-05</v>
      </c>
    </row>
    <row r="241" spans="1:16" x14ac:dyDescent="0.3">
      <c r="A241" s="3" t="s">
        <v>255</v>
      </c>
      <c r="B241" s="4">
        <v>45889</v>
      </c>
      <c r="C241" s="3" t="s">
        <v>520</v>
      </c>
      <c r="D241" s="3" t="s">
        <v>528</v>
      </c>
      <c r="E241" s="3" t="s">
        <v>552</v>
      </c>
      <c r="F241" s="3" t="s">
        <v>572</v>
      </c>
      <c r="G241" s="3" t="s">
        <v>587</v>
      </c>
      <c r="H241">
        <v>4</v>
      </c>
      <c r="I241" s="5">
        <v>1176.3900000000001</v>
      </c>
      <c r="J241">
        <v>0</v>
      </c>
      <c r="K241" s="5">
        <v>4705.5600000000004</v>
      </c>
      <c r="L241" s="5">
        <v>3731.51</v>
      </c>
      <c r="M241" s="5">
        <v>974.05</v>
      </c>
      <c r="N241">
        <f>YEAR(CleanedSalesData[[#This Row],[OrderDate]])</f>
        <v>2025</v>
      </c>
      <c r="O241">
        <f>MONTH(CleanedSalesData[[#This Row],[OrderDate]])</f>
        <v>8</v>
      </c>
      <c r="P241" t="str">
        <f>TEXT(CleanedSalesData[[#This Row],[OrderDate]], "yyyy-mm")</f>
        <v>2025-08</v>
      </c>
    </row>
    <row r="242" spans="1:16" x14ac:dyDescent="0.3">
      <c r="A242" s="3" t="s">
        <v>256</v>
      </c>
      <c r="B242" s="4">
        <v>45889</v>
      </c>
      <c r="C242" s="3" t="s">
        <v>519</v>
      </c>
      <c r="D242" s="3" t="s">
        <v>533</v>
      </c>
      <c r="E242" s="3" t="s">
        <v>555</v>
      </c>
      <c r="F242" s="3" t="s">
        <v>571</v>
      </c>
      <c r="G242" s="3" t="s">
        <v>574</v>
      </c>
      <c r="H242">
        <v>1</v>
      </c>
      <c r="I242" s="5">
        <v>5430.93</v>
      </c>
      <c r="J242">
        <v>0</v>
      </c>
      <c r="K242" s="5">
        <v>5430.93</v>
      </c>
      <c r="L242" s="5">
        <v>4024.32</v>
      </c>
      <c r="M242" s="5">
        <v>1406.61</v>
      </c>
      <c r="N242">
        <f>YEAR(CleanedSalesData[[#This Row],[OrderDate]])</f>
        <v>2025</v>
      </c>
      <c r="O242">
        <f>MONTH(CleanedSalesData[[#This Row],[OrderDate]])</f>
        <v>8</v>
      </c>
      <c r="P242" t="str">
        <f>TEXT(CleanedSalesData[[#This Row],[OrderDate]], "yyyy-mm")</f>
        <v>2025-08</v>
      </c>
    </row>
    <row r="243" spans="1:16" x14ac:dyDescent="0.3">
      <c r="A243" s="3" t="s">
        <v>257</v>
      </c>
      <c r="B243" s="4">
        <v>45404</v>
      </c>
      <c r="C243" s="3" t="s">
        <v>518</v>
      </c>
      <c r="D243" s="3" t="s">
        <v>537</v>
      </c>
      <c r="E243" s="3" t="s">
        <v>569</v>
      </c>
      <c r="F243" s="3" t="s">
        <v>572</v>
      </c>
      <c r="G243" s="3" t="s">
        <v>586</v>
      </c>
      <c r="H243">
        <v>1</v>
      </c>
      <c r="I243" s="5">
        <v>345.29</v>
      </c>
      <c r="J243">
        <v>0</v>
      </c>
      <c r="K243" s="5">
        <v>345.29</v>
      </c>
      <c r="L243" s="5">
        <v>263.11</v>
      </c>
      <c r="M243" s="5">
        <v>82.18</v>
      </c>
      <c r="N243">
        <f>YEAR(CleanedSalesData[[#This Row],[OrderDate]])</f>
        <v>2024</v>
      </c>
      <c r="O243">
        <f>MONTH(CleanedSalesData[[#This Row],[OrderDate]])</f>
        <v>4</v>
      </c>
      <c r="P243" t="str">
        <f>TEXT(CleanedSalesData[[#This Row],[OrderDate]], "yyyy-mm")</f>
        <v>2024-04</v>
      </c>
    </row>
    <row r="244" spans="1:16" x14ac:dyDescent="0.3">
      <c r="A244" s="3" t="s">
        <v>258</v>
      </c>
      <c r="B244" s="4">
        <v>45712</v>
      </c>
      <c r="C244" s="3" t="s">
        <v>517</v>
      </c>
      <c r="D244" s="3" t="s">
        <v>530</v>
      </c>
      <c r="E244" s="3" t="s">
        <v>567</v>
      </c>
      <c r="F244" s="3" t="s">
        <v>573</v>
      </c>
      <c r="G244" s="3" t="s">
        <v>585</v>
      </c>
      <c r="H244">
        <v>1</v>
      </c>
      <c r="I244" s="5">
        <v>13929.71</v>
      </c>
      <c r="J244">
        <v>0</v>
      </c>
      <c r="K244" s="5">
        <v>13929.71</v>
      </c>
      <c r="L244" s="5">
        <v>9472.2000000000007</v>
      </c>
      <c r="M244" s="5">
        <v>4457.51</v>
      </c>
      <c r="N244">
        <f>YEAR(CleanedSalesData[[#This Row],[OrderDate]])</f>
        <v>2025</v>
      </c>
      <c r="O244">
        <f>MONTH(CleanedSalesData[[#This Row],[OrderDate]])</f>
        <v>2</v>
      </c>
      <c r="P244" t="str">
        <f>TEXT(CleanedSalesData[[#This Row],[OrderDate]], "yyyy-mm")</f>
        <v>2025-02</v>
      </c>
    </row>
    <row r="245" spans="1:16" x14ac:dyDescent="0.3">
      <c r="A245" s="3" t="s">
        <v>259</v>
      </c>
      <c r="B245" s="4">
        <v>45781</v>
      </c>
      <c r="C245" s="3" t="s">
        <v>517</v>
      </c>
      <c r="D245" s="3" t="s">
        <v>530</v>
      </c>
      <c r="E245" s="3" t="s">
        <v>549</v>
      </c>
      <c r="F245" s="3" t="s">
        <v>571</v>
      </c>
      <c r="G245" s="3" t="s">
        <v>576</v>
      </c>
      <c r="H245">
        <v>1</v>
      </c>
      <c r="I245" s="5">
        <v>73233.56</v>
      </c>
      <c r="J245">
        <v>0</v>
      </c>
      <c r="K245" s="5">
        <v>73233.56</v>
      </c>
      <c r="L245" s="5">
        <v>63420.26</v>
      </c>
      <c r="M245" s="5">
        <v>9813.2999999999993</v>
      </c>
      <c r="N245">
        <f>YEAR(CleanedSalesData[[#This Row],[OrderDate]])</f>
        <v>2025</v>
      </c>
      <c r="O245">
        <f>MONTH(CleanedSalesData[[#This Row],[OrderDate]])</f>
        <v>5</v>
      </c>
      <c r="P245" t="str">
        <f>TEXT(CleanedSalesData[[#This Row],[OrderDate]], "yyyy-mm")</f>
        <v>2025-05</v>
      </c>
    </row>
    <row r="246" spans="1:16" x14ac:dyDescent="0.3">
      <c r="A246" s="3" t="s">
        <v>260</v>
      </c>
      <c r="B246" s="4">
        <v>45654</v>
      </c>
      <c r="C246" s="3" t="s">
        <v>520</v>
      </c>
      <c r="D246" s="3" t="s">
        <v>535</v>
      </c>
      <c r="E246" s="3" t="s">
        <v>565</v>
      </c>
      <c r="F246" s="3" t="s">
        <v>571</v>
      </c>
      <c r="G246" s="3" t="s">
        <v>578</v>
      </c>
      <c r="H246">
        <v>4</v>
      </c>
      <c r="I246" s="5">
        <v>45972.67</v>
      </c>
      <c r="J246">
        <v>0</v>
      </c>
      <c r="K246" s="5">
        <v>183890.68</v>
      </c>
      <c r="L246" s="5">
        <v>125597.33</v>
      </c>
      <c r="M246" s="5">
        <v>58293.35</v>
      </c>
      <c r="N246">
        <f>YEAR(CleanedSalesData[[#This Row],[OrderDate]])</f>
        <v>2024</v>
      </c>
      <c r="O246">
        <f>MONTH(CleanedSalesData[[#This Row],[OrderDate]])</f>
        <v>12</v>
      </c>
      <c r="P246" t="str">
        <f>TEXT(CleanedSalesData[[#This Row],[OrderDate]], "yyyy-mm")</f>
        <v>2024-12</v>
      </c>
    </row>
    <row r="247" spans="1:16" x14ac:dyDescent="0.3">
      <c r="A247" s="3" t="s">
        <v>261</v>
      </c>
      <c r="B247" s="4">
        <v>45596</v>
      </c>
      <c r="C247" s="3" t="s">
        <v>520</v>
      </c>
      <c r="D247" s="3" t="s">
        <v>528</v>
      </c>
      <c r="E247" s="3" t="s">
        <v>552</v>
      </c>
      <c r="F247" s="3" t="s">
        <v>572</v>
      </c>
      <c r="G247" s="3" t="s">
        <v>586</v>
      </c>
      <c r="H247">
        <v>1</v>
      </c>
      <c r="I247" s="5">
        <v>730.17</v>
      </c>
      <c r="J247">
        <v>0</v>
      </c>
      <c r="K247" s="5">
        <v>730.17</v>
      </c>
      <c r="L247" s="5">
        <v>557.85</v>
      </c>
      <c r="M247" s="5">
        <v>172.32</v>
      </c>
      <c r="N247">
        <f>YEAR(CleanedSalesData[[#This Row],[OrderDate]])</f>
        <v>2024</v>
      </c>
      <c r="O247">
        <f>MONTH(CleanedSalesData[[#This Row],[OrderDate]])</f>
        <v>10</v>
      </c>
      <c r="P247" t="str">
        <f>TEXT(CleanedSalesData[[#This Row],[OrderDate]], "yyyy-mm")</f>
        <v>2024-10</v>
      </c>
    </row>
    <row r="248" spans="1:16" x14ac:dyDescent="0.3">
      <c r="A248" s="3" t="s">
        <v>262</v>
      </c>
      <c r="B248" s="4">
        <v>45572</v>
      </c>
      <c r="C248" s="3" t="s">
        <v>520</v>
      </c>
      <c r="D248" s="3" t="s">
        <v>528</v>
      </c>
      <c r="E248" s="3" t="s">
        <v>552</v>
      </c>
      <c r="F248" s="3" t="s">
        <v>572</v>
      </c>
      <c r="G248" s="3" t="s">
        <v>577</v>
      </c>
      <c r="H248">
        <v>1</v>
      </c>
      <c r="I248" s="5">
        <v>1911.49</v>
      </c>
      <c r="J248">
        <v>0</v>
      </c>
      <c r="K248" s="5">
        <v>1911.49</v>
      </c>
      <c r="L248" s="5">
        <v>1708.87</v>
      </c>
      <c r="M248" s="5">
        <v>202.62</v>
      </c>
      <c r="N248">
        <f>YEAR(CleanedSalesData[[#This Row],[OrderDate]])</f>
        <v>2024</v>
      </c>
      <c r="O248">
        <f>MONTH(CleanedSalesData[[#This Row],[OrderDate]])</f>
        <v>10</v>
      </c>
      <c r="P248" t="str">
        <f>TEXT(CleanedSalesData[[#This Row],[OrderDate]], "yyyy-mm")</f>
        <v>2024-10</v>
      </c>
    </row>
    <row r="249" spans="1:16" x14ac:dyDescent="0.3">
      <c r="A249" s="3" t="s">
        <v>263</v>
      </c>
      <c r="B249" s="4">
        <v>45589</v>
      </c>
      <c r="C249" s="3" t="s">
        <v>516</v>
      </c>
      <c r="D249" s="3" t="s">
        <v>521</v>
      </c>
      <c r="E249" s="3" t="s">
        <v>538</v>
      </c>
      <c r="F249" s="3" t="s">
        <v>572</v>
      </c>
      <c r="G249" s="3" t="s">
        <v>586</v>
      </c>
      <c r="H249">
        <v>1</v>
      </c>
      <c r="I249" s="5">
        <v>1329.15</v>
      </c>
      <c r="J249">
        <v>0</v>
      </c>
      <c r="K249" s="5">
        <v>1329.15</v>
      </c>
      <c r="L249" s="5">
        <v>1121.8</v>
      </c>
      <c r="M249" s="5">
        <v>207.35</v>
      </c>
      <c r="N249">
        <f>YEAR(CleanedSalesData[[#This Row],[OrderDate]])</f>
        <v>2024</v>
      </c>
      <c r="O249">
        <f>MONTH(CleanedSalesData[[#This Row],[OrderDate]])</f>
        <v>10</v>
      </c>
      <c r="P249" t="str">
        <f>TEXT(CleanedSalesData[[#This Row],[OrderDate]], "yyyy-mm")</f>
        <v>2024-10</v>
      </c>
    </row>
    <row r="250" spans="1:16" x14ac:dyDescent="0.3">
      <c r="A250" s="3" t="s">
        <v>264</v>
      </c>
      <c r="B250" s="4">
        <v>45511</v>
      </c>
      <c r="C250" s="3" t="s">
        <v>518</v>
      </c>
      <c r="D250" s="3" t="s">
        <v>524</v>
      </c>
      <c r="E250" s="3" t="s">
        <v>541</v>
      </c>
      <c r="F250" s="3" t="s">
        <v>573</v>
      </c>
      <c r="G250" s="3" t="s">
        <v>580</v>
      </c>
      <c r="H250">
        <v>1</v>
      </c>
      <c r="I250" s="5">
        <v>5157.28</v>
      </c>
      <c r="J250">
        <v>0</v>
      </c>
      <c r="K250" s="5">
        <v>5157.28</v>
      </c>
      <c r="L250" s="5">
        <v>4780.8</v>
      </c>
      <c r="M250" s="5">
        <v>376.48</v>
      </c>
      <c r="N250">
        <f>YEAR(CleanedSalesData[[#This Row],[OrderDate]])</f>
        <v>2024</v>
      </c>
      <c r="O250">
        <f>MONTH(CleanedSalesData[[#This Row],[OrderDate]])</f>
        <v>8</v>
      </c>
      <c r="P250" t="str">
        <f>TEXT(CleanedSalesData[[#This Row],[OrderDate]], "yyyy-mm")</f>
        <v>2024-08</v>
      </c>
    </row>
    <row r="251" spans="1:16" x14ac:dyDescent="0.3">
      <c r="A251" s="3" t="s">
        <v>265</v>
      </c>
      <c r="B251" s="4">
        <v>45892</v>
      </c>
      <c r="C251" s="3" t="s">
        <v>518</v>
      </c>
      <c r="D251" s="3" t="s">
        <v>537</v>
      </c>
      <c r="E251" s="3" t="s">
        <v>561</v>
      </c>
      <c r="F251" s="3" t="s">
        <v>573</v>
      </c>
      <c r="G251" s="3" t="s">
        <v>584</v>
      </c>
      <c r="H251">
        <v>5</v>
      </c>
      <c r="I251" s="5">
        <v>7190.45</v>
      </c>
      <c r="J251">
        <v>0</v>
      </c>
      <c r="K251" s="5">
        <v>35952.25</v>
      </c>
      <c r="L251" s="5">
        <v>23512.77</v>
      </c>
      <c r="M251" s="5">
        <v>12439.48</v>
      </c>
      <c r="N251">
        <f>YEAR(CleanedSalesData[[#This Row],[OrderDate]])</f>
        <v>2025</v>
      </c>
      <c r="O251">
        <f>MONTH(CleanedSalesData[[#This Row],[OrderDate]])</f>
        <v>8</v>
      </c>
      <c r="P251" t="str">
        <f>TEXT(CleanedSalesData[[#This Row],[OrderDate]], "yyyy-mm")</f>
        <v>2025-08</v>
      </c>
    </row>
    <row r="252" spans="1:16" x14ac:dyDescent="0.3">
      <c r="A252" s="3" t="s">
        <v>266</v>
      </c>
      <c r="B252" s="4">
        <v>45394</v>
      </c>
      <c r="C252" s="3" t="s">
        <v>519</v>
      </c>
      <c r="D252" s="3" t="s">
        <v>532</v>
      </c>
      <c r="E252" s="3" t="s">
        <v>554</v>
      </c>
      <c r="F252" s="3" t="s">
        <v>571</v>
      </c>
      <c r="G252" s="3" t="s">
        <v>574</v>
      </c>
      <c r="H252">
        <v>2</v>
      </c>
      <c r="I252" s="5">
        <v>3398.97</v>
      </c>
      <c r="J252">
        <v>0</v>
      </c>
      <c r="K252" s="5">
        <v>6797.94</v>
      </c>
      <c r="L252" s="5">
        <v>5363.57</v>
      </c>
      <c r="M252" s="5">
        <v>1434.37</v>
      </c>
      <c r="N252">
        <f>YEAR(CleanedSalesData[[#This Row],[OrderDate]])</f>
        <v>2024</v>
      </c>
      <c r="O252">
        <f>MONTH(CleanedSalesData[[#This Row],[OrderDate]])</f>
        <v>4</v>
      </c>
      <c r="P252" t="str">
        <f>TEXT(CleanedSalesData[[#This Row],[OrderDate]], "yyyy-mm")</f>
        <v>2024-04</v>
      </c>
    </row>
    <row r="253" spans="1:16" x14ac:dyDescent="0.3">
      <c r="A253" s="3" t="s">
        <v>267</v>
      </c>
      <c r="B253" s="4">
        <v>45453</v>
      </c>
      <c r="C253" s="3" t="s">
        <v>519</v>
      </c>
      <c r="D253" s="3" t="s">
        <v>534</v>
      </c>
      <c r="E253" s="3" t="s">
        <v>556</v>
      </c>
      <c r="F253" s="3" t="s">
        <v>573</v>
      </c>
      <c r="G253" s="3" t="s">
        <v>585</v>
      </c>
      <c r="H253">
        <v>1</v>
      </c>
      <c r="I253" s="5">
        <v>19385.95</v>
      </c>
      <c r="J253">
        <v>0</v>
      </c>
      <c r="K253" s="5">
        <v>19385.95</v>
      </c>
      <c r="L253" s="5">
        <v>13686.48</v>
      </c>
      <c r="M253" s="5">
        <v>5699.47</v>
      </c>
      <c r="N253">
        <f>YEAR(CleanedSalesData[[#This Row],[OrderDate]])</f>
        <v>2024</v>
      </c>
      <c r="O253">
        <f>MONTH(CleanedSalesData[[#This Row],[OrderDate]])</f>
        <v>6</v>
      </c>
      <c r="P253" t="str">
        <f>TEXT(CleanedSalesData[[#This Row],[OrderDate]], "yyyy-mm")</f>
        <v>2024-06</v>
      </c>
    </row>
    <row r="254" spans="1:16" x14ac:dyDescent="0.3">
      <c r="A254" s="3" t="s">
        <v>268</v>
      </c>
      <c r="B254" s="4">
        <v>45584</v>
      </c>
      <c r="C254" s="3" t="s">
        <v>516</v>
      </c>
      <c r="D254" s="3" t="s">
        <v>525</v>
      </c>
      <c r="E254" s="3" t="s">
        <v>557</v>
      </c>
      <c r="F254" s="3" t="s">
        <v>573</v>
      </c>
      <c r="G254" s="3" t="s">
        <v>582</v>
      </c>
      <c r="H254">
        <v>2</v>
      </c>
      <c r="I254" s="5">
        <v>23004.28</v>
      </c>
      <c r="J254">
        <v>0.05</v>
      </c>
      <c r="K254" s="5">
        <v>43708.13</v>
      </c>
      <c r="L254" s="5">
        <v>39381.03</v>
      </c>
      <c r="M254" s="5">
        <v>4327.1000000000004</v>
      </c>
      <c r="N254">
        <f>YEAR(CleanedSalesData[[#This Row],[OrderDate]])</f>
        <v>2024</v>
      </c>
      <c r="O254">
        <f>MONTH(CleanedSalesData[[#This Row],[OrderDate]])</f>
        <v>10</v>
      </c>
      <c r="P254" t="str">
        <f>TEXT(CleanedSalesData[[#This Row],[OrderDate]], "yyyy-mm")</f>
        <v>2024-10</v>
      </c>
    </row>
    <row r="255" spans="1:16" x14ac:dyDescent="0.3">
      <c r="A255" s="3" t="s">
        <v>269</v>
      </c>
      <c r="B255" s="4">
        <v>45329</v>
      </c>
      <c r="C255" s="3" t="s">
        <v>519</v>
      </c>
      <c r="D255" s="3" t="s">
        <v>534</v>
      </c>
      <c r="E255" s="3" t="s">
        <v>566</v>
      </c>
      <c r="F255" s="3" t="s">
        <v>573</v>
      </c>
      <c r="G255" s="3" t="s">
        <v>580</v>
      </c>
      <c r="H255">
        <v>3</v>
      </c>
      <c r="I255" s="5">
        <v>22165.09</v>
      </c>
      <c r="J255">
        <v>0.15</v>
      </c>
      <c r="K255" s="5">
        <v>56520.98</v>
      </c>
      <c r="L255" s="5">
        <v>39734.25</v>
      </c>
      <c r="M255" s="5">
        <v>16786.73</v>
      </c>
      <c r="N255">
        <f>YEAR(CleanedSalesData[[#This Row],[OrderDate]])</f>
        <v>2024</v>
      </c>
      <c r="O255">
        <f>MONTH(CleanedSalesData[[#This Row],[OrderDate]])</f>
        <v>2</v>
      </c>
      <c r="P255" t="str">
        <f>TEXT(CleanedSalesData[[#This Row],[OrderDate]], "yyyy-mm")</f>
        <v>2024-02</v>
      </c>
    </row>
    <row r="256" spans="1:16" x14ac:dyDescent="0.3">
      <c r="A256" s="3" t="s">
        <v>270</v>
      </c>
      <c r="B256" s="4">
        <v>45401</v>
      </c>
      <c r="C256" s="3" t="s">
        <v>520</v>
      </c>
      <c r="D256" s="3" t="s">
        <v>535</v>
      </c>
      <c r="E256" s="3" t="s">
        <v>559</v>
      </c>
      <c r="F256" s="3" t="s">
        <v>573</v>
      </c>
      <c r="G256" s="3" t="s">
        <v>584</v>
      </c>
      <c r="H256">
        <v>4</v>
      </c>
      <c r="I256" s="5">
        <v>14059.33</v>
      </c>
      <c r="J256">
        <v>0</v>
      </c>
      <c r="K256" s="5">
        <v>56237.32</v>
      </c>
      <c r="L256" s="5">
        <v>41165.72</v>
      </c>
      <c r="M256" s="5">
        <v>15071.6</v>
      </c>
      <c r="N256">
        <f>YEAR(CleanedSalesData[[#This Row],[OrderDate]])</f>
        <v>2024</v>
      </c>
      <c r="O256">
        <f>MONTH(CleanedSalesData[[#This Row],[OrderDate]])</f>
        <v>4</v>
      </c>
      <c r="P256" t="str">
        <f>TEXT(CleanedSalesData[[#This Row],[OrderDate]], "yyyy-mm")</f>
        <v>2024-04</v>
      </c>
    </row>
    <row r="257" spans="1:16" x14ac:dyDescent="0.3">
      <c r="A257" s="3" t="s">
        <v>271</v>
      </c>
      <c r="B257" s="4">
        <v>45429</v>
      </c>
      <c r="C257" s="3" t="s">
        <v>517</v>
      </c>
      <c r="D257" s="3" t="s">
        <v>530</v>
      </c>
      <c r="E257" s="3" t="s">
        <v>549</v>
      </c>
      <c r="F257" s="3" t="s">
        <v>571</v>
      </c>
      <c r="G257" s="3" t="s">
        <v>575</v>
      </c>
      <c r="H257">
        <v>1</v>
      </c>
      <c r="I257" s="5">
        <v>28462.68</v>
      </c>
      <c r="J257">
        <v>0</v>
      </c>
      <c r="K257" s="5">
        <v>28462.68</v>
      </c>
      <c r="L257" s="5">
        <v>23481.71</v>
      </c>
      <c r="M257" s="5">
        <v>4980.97</v>
      </c>
      <c r="N257">
        <f>YEAR(CleanedSalesData[[#This Row],[OrderDate]])</f>
        <v>2024</v>
      </c>
      <c r="O257">
        <f>MONTH(CleanedSalesData[[#This Row],[OrderDate]])</f>
        <v>5</v>
      </c>
      <c r="P257" t="str">
        <f>TEXT(CleanedSalesData[[#This Row],[OrderDate]], "yyyy-mm")</f>
        <v>2024-05</v>
      </c>
    </row>
    <row r="258" spans="1:16" x14ac:dyDescent="0.3">
      <c r="A258" s="3" t="s">
        <v>272</v>
      </c>
      <c r="B258" s="4">
        <v>45555</v>
      </c>
      <c r="C258" s="3" t="s">
        <v>518</v>
      </c>
      <c r="D258" s="3" t="s">
        <v>537</v>
      </c>
      <c r="E258" s="3" t="s">
        <v>569</v>
      </c>
      <c r="F258" s="3" t="s">
        <v>572</v>
      </c>
      <c r="G258" s="3" t="s">
        <v>587</v>
      </c>
      <c r="H258">
        <v>4</v>
      </c>
      <c r="I258" s="5">
        <v>1365.08</v>
      </c>
      <c r="J258">
        <v>0.15</v>
      </c>
      <c r="K258" s="5">
        <v>4641.2700000000004</v>
      </c>
      <c r="L258" s="5">
        <v>3202.48</v>
      </c>
      <c r="M258" s="5">
        <v>1438.79</v>
      </c>
      <c r="N258">
        <f>YEAR(CleanedSalesData[[#This Row],[OrderDate]])</f>
        <v>2024</v>
      </c>
      <c r="O258">
        <f>MONTH(CleanedSalesData[[#This Row],[OrderDate]])</f>
        <v>9</v>
      </c>
      <c r="P258" t="str">
        <f>TEXT(CleanedSalesData[[#This Row],[OrderDate]], "yyyy-mm")</f>
        <v>2024-09</v>
      </c>
    </row>
    <row r="259" spans="1:16" x14ac:dyDescent="0.3">
      <c r="A259" s="3" t="s">
        <v>273</v>
      </c>
      <c r="B259" s="4">
        <v>45707</v>
      </c>
      <c r="C259" s="3" t="s">
        <v>519</v>
      </c>
      <c r="D259" s="3" t="s">
        <v>532</v>
      </c>
      <c r="E259" s="3" t="s">
        <v>564</v>
      </c>
      <c r="F259" s="3" t="s">
        <v>572</v>
      </c>
      <c r="G259" s="3" t="s">
        <v>588</v>
      </c>
      <c r="H259">
        <v>1</v>
      </c>
      <c r="I259" s="5">
        <v>410.32</v>
      </c>
      <c r="J259">
        <v>0.1</v>
      </c>
      <c r="K259" s="5">
        <v>369.29</v>
      </c>
      <c r="L259" s="5">
        <v>347.87</v>
      </c>
      <c r="M259" s="5">
        <v>21.42</v>
      </c>
      <c r="N259">
        <f>YEAR(CleanedSalesData[[#This Row],[OrderDate]])</f>
        <v>2025</v>
      </c>
      <c r="O259">
        <f>MONTH(CleanedSalesData[[#This Row],[OrderDate]])</f>
        <v>2</v>
      </c>
      <c r="P259" t="str">
        <f>TEXT(CleanedSalesData[[#This Row],[OrderDate]], "yyyy-mm")</f>
        <v>2025-02</v>
      </c>
    </row>
    <row r="260" spans="1:16" x14ac:dyDescent="0.3">
      <c r="A260" s="3" t="s">
        <v>274</v>
      </c>
      <c r="B260" s="4">
        <v>45546</v>
      </c>
      <c r="C260" s="3" t="s">
        <v>516</v>
      </c>
      <c r="D260" s="3" t="s">
        <v>521</v>
      </c>
      <c r="E260" s="3" t="s">
        <v>568</v>
      </c>
      <c r="F260" s="3" t="s">
        <v>571</v>
      </c>
      <c r="G260" s="3" t="s">
        <v>576</v>
      </c>
      <c r="H260">
        <v>1</v>
      </c>
      <c r="I260" s="5">
        <v>61039.26</v>
      </c>
      <c r="J260">
        <v>0</v>
      </c>
      <c r="K260" s="5">
        <v>61039.26</v>
      </c>
      <c r="L260" s="5">
        <v>43154.76</v>
      </c>
      <c r="M260" s="5">
        <v>17884.5</v>
      </c>
      <c r="N260">
        <f>YEAR(CleanedSalesData[[#This Row],[OrderDate]])</f>
        <v>2024</v>
      </c>
      <c r="O260">
        <f>MONTH(CleanedSalesData[[#This Row],[OrderDate]])</f>
        <v>9</v>
      </c>
      <c r="P260" t="str">
        <f>TEXT(CleanedSalesData[[#This Row],[OrderDate]], "yyyy-mm")</f>
        <v>2024-09</v>
      </c>
    </row>
    <row r="261" spans="1:16" x14ac:dyDescent="0.3">
      <c r="A261" s="3" t="s">
        <v>275</v>
      </c>
      <c r="B261" s="4">
        <v>45601</v>
      </c>
      <c r="C261" s="3" t="s">
        <v>517</v>
      </c>
      <c r="D261" s="3" t="s">
        <v>536</v>
      </c>
      <c r="E261" s="3" t="s">
        <v>560</v>
      </c>
      <c r="F261" s="3" t="s">
        <v>573</v>
      </c>
      <c r="G261" s="3" t="s">
        <v>580</v>
      </c>
      <c r="H261">
        <v>5</v>
      </c>
      <c r="I261" s="5">
        <v>17933.68</v>
      </c>
      <c r="J261">
        <v>0.05</v>
      </c>
      <c r="K261" s="5">
        <v>85184.98</v>
      </c>
      <c r="L261" s="5">
        <v>77092.41</v>
      </c>
      <c r="M261" s="5">
        <v>8092.57</v>
      </c>
      <c r="N261">
        <f>YEAR(CleanedSalesData[[#This Row],[OrderDate]])</f>
        <v>2024</v>
      </c>
      <c r="O261">
        <f>MONTH(CleanedSalesData[[#This Row],[OrderDate]])</f>
        <v>11</v>
      </c>
      <c r="P261" t="str">
        <f>TEXT(CleanedSalesData[[#This Row],[OrderDate]], "yyyy-mm")</f>
        <v>2024-11</v>
      </c>
    </row>
    <row r="262" spans="1:16" x14ac:dyDescent="0.3">
      <c r="A262" s="3" t="s">
        <v>276</v>
      </c>
      <c r="B262" s="4">
        <v>45768</v>
      </c>
      <c r="C262" s="3" t="s">
        <v>520</v>
      </c>
      <c r="D262" s="3" t="s">
        <v>528</v>
      </c>
      <c r="E262" s="3" t="s">
        <v>552</v>
      </c>
      <c r="F262" s="3" t="s">
        <v>573</v>
      </c>
      <c r="G262" s="3" t="s">
        <v>584</v>
      </c>
      <c r="H262">
        <v>1</v>
      </c>
      <c r="I262" s="5">
        <v>23231.439999999999</v>
      </c>
      <c r="J262">
        <v>0</v>
      </c>
      <c r="K262" s="5">
        <v>23231.439999999999</v>
      </c>
      <c r="L262" s="5">
        <v>19421.48</v>
      </c>
      <c r="M262" s="5">
        <v>3809.96</v>
      </c>
      <c r="N262">
        <f>YEAR(CleanedSalesData[[#This Row],[OrderDate]])</f>
        <v>2025</v>
      </c>
      <c r="O262">
        <f>MONTH(CleanedSalesData[[#This Row],[OrderDate]])</f>
        <v>4</v>
      </c>
      <c r="P262" t="str">
        <f>TEXT(CleanedSalesData[[#This Row],[OrderDate]], "yyyy-mm")</f>
        <v>2025-04</v>
      </c>
    </row>
    <row r="263" spans="1:16" x14ac:dyDescent="0.3">
      <c r="A263" s="3" t="s">
        <v>277</v>
      </c>
      <c r="B263" s="4">
        <v>45610</v>
      </c>
      <c r="C263" s="3" t="s">
        <v>516</v>
      </c>
      <c r="D263" s="3" t="s">
        <v>521</v>
      </c>
      <c r="E263" s="3" t="s">
        <v>568</v>
      </c>
      <c r="F263" s="3" t="s">
        <v>573</v>
      </c>
      <c r="G263" s="3" t="s">
        <v>585</v>
      </c>
      <c r="H263">
        <v>4</v>
      </c>
      <c r="I263" s="5">
        <v>7039.96</v>
      </c>
      <c r="J263">
        <v>0.05</v>
      </c>
      <c r="K263" s="5">
        <v>26751.85</v>
      </c>
      <c r="L263" s="5">
        <v>18646.04</v>
      </c>
      <c r="M263" s="5">
        <v>8105.81</v>
      </c>
      <c r="N263">
        <f>YEAR(CleanedSalesData[[#This Row],[OrderDate]])</f>
        <v>2024</v>
      </c>
      <c r="O263">
        <f>MONTH(CleanedSalesData[[#This Row],[OrderDate]])</f>
        <v>11</v>
      </c>
      <c r="P263" t="str">
        <f>TEXT(CleanedSalesData[[#This Row],[OrderDate]], "yyyy-mm")</f>
        <v>2024-11</v>
      </c>
    </row>
    <row r="264" spans="1:16" x14ac:dyDescent="0.3">
      <c r="A264" s="3" t="s">
        <v>278</v>
      </c>
      <c r="B264" s="4">
        <v>45757</v>
      </c>
      <c r="C264" s="3" t="s">
        <v>517</v>
      </c>
      <c r="D264" s="3" t="s">
        <v>531</v>
      </c>
      <c r="E264" s="3" t="s">
        <v>563</v>
      </c>
      <c r="F264" s="3" t="s">
        <v>573</v>
      </c>
      <c r="G264" s="3" t="s">
        <v>584</v>
      </c>
      <c r="H264">
        <v>2</v>
      </c>
      <c r="I264" s="5">
        <v>22994.33</v>
      </c>
      <c r="J264">
        <v>0</v>
      </c>
      <c r="K264" s="5">
        <v>45988.66</v>
      </c>
      <c r="L264" s="5">
        <v>37204.83</v>
      </c>
      <c r="M264" s="5">
        <v>8783.83</v>
      </c>
      <c r="N264">
        <f>YEAR(CleanedSalesData[[#This Row],[OrderDate]])</f>
        <v>2025</v>
      </c>
      <c r="O264">
        <f>MONTH(CleanedSalesData[[#This Row],[OrderDate]])</f>
        <v>4</v>
      </c>
      <c r="P264" t="str">
        <f>TEXT(CleanedSalesData[[#This Row],[OrderDate]], "yyyy-mm")</f>
        <v>2025-04</v>
      </c>
    </row>
    <row r="265" spans="1:16" x14ac:dyDescent="0.3">
      <c r="A265" s="3" t="s">
        <v>279</v>
      </c>
      <c r="B265" s="4">
        <v>45515</v>
      </c>
      <c r="C265" s="3" t="s">
        <v>518</v>
      </c>
      <c r="D265" s="3" t="s">
        <v>524</v>
      </c>
      <c r="E265" s="3" t="s">
        <v>550</v>
      </c>
      <c r="F265" s="3" t="s">
        <v>573</v>
      </c>
      <c r="G265" s="3" t="s">
        <v>581</v>
      </c>
      <c r="H265">
        <v>1</v>
      </c>
      <c r="I265" s="5">
        <v>14147.98</v>
      </c>
      <c r="J265">
        <v>0</v>
      </c>
      <c r="K265" s="5">
        <v>14147.98</v>
      </c>
      <c r="L265" s="5">
        <v>12280.45</v>
      </c>
      <c r="M265" s="5">
        <v>1867.53</v>
      </c>
      <c r="N265">
        <f>YEAR(CleanedSalesData[[#This Row],[OrderDate]])</f>
        <v>2024</v>
      </c>
      <c r="O265">
        <f>MONTH(CleanedSalesData[[#This Row],[OrderDate]])</f>
        <v>8</v>
      </c>
      <c r="P265" t="str">
        <f>TEXT(CleanedSalesData[[#This Row],[OrderDate]], "yyyy-mm")</f>
        <v>2024-08</v>
      </c>
    </row>
    <row r="266" spans="1:16" x14ac:dyDescent="0.3">
      <c r="A266" s="3" t="s">
        <v>280</v>
      </c>
      <c r="B266" s="4">
        <v>45869</v>
      </c>
      <c r="C266" s="3" t="s">
        <v>516</v>
      </c>
      <c r="D266" s="3" t="s">
        <v>525</v>
      </c>
      <c r="E266" s="3" t="s">
        <v>557</v>
      </c>
      <c r="F266" s="3" t="s">
        <v>573</v>
      </c>
      <c r="G266" s="3" t="s">
        <v>584</v>
      </c>
      <c r="H266">
        <v>1</v>
      </c>
      <c r="I266" s="5">
        <v>5446.6</v>
      </c>
      <c r="J266">
        <v>0</v>
      </c>
      <c r="K266" s="5">
        <v>5446.6</v>
      </c>
      <c r="L266" s="5">
        <v>3763.6</v>
      </c>
      <c r="M266" s="5">
        <v>1683</v>
      </c>
      <c r="N266">
        <f>YEAR(CleanedSalesData[[#This Row],[OrderDate]])</f>
        <v>2025</v>
      </c>
      <c r="O266">
        <f>MONTH(CleanedSalesData[[#This Row],[OrderDate]])</f>
        <v>7</v>
      </c>
      <c r="P266" t="str">
        <f>TEXT(CleanedSalesData[[#This Row],[OrderDate]], "yyyy-mm")</f>
        <v>2025-07</v>
      </c>
    </row>
    <row r="267" spans="1:16" x14ac:dyDescent="0.3">
      <c r="A267" s="3" t="s">
        <v>281</v>
      </c>
      <c r="B267" s="4">
        <v>45824</v>
      </c>
      <c r="C267" s="3" t="s">
        <v>519</v>
      </c>
      <c r="D267" s="3" t="s">
        <v>526</v>
      </c>
      <c r="E267" s="3" t="s">
        <v>562</v>
      </c>
      <c r="F267" s="3" t="s">
        <v>573</v>
      </c>
      <c r="G267" s="3" t="s">
        <v>584</v>
      </c>
      <c r="H267">
        <v>2</v>
      </c>
      <c r="I267" s="5">
        <v>13243.04</v>
      </c>
      <c r="J267">
        <v>0</v>
      </c>
      <c r="K267" s="5">
        <v>26486.080000000002</v>
      </c>
      <c r="L267" s="5">
        <v>17215.95</v>
      </c>
      <c r="M267" s="5">
        <v>9270.1299999999992</v>
      </c>
      <c r="N267">
        <f>YEAR(CleanedSalesData[[#This Row],[OrderDate]])</f>
        <v>2025</v>
      </c>
      <c r="O267">
        <f>MONTH(CleanedSalesData[[#This Row],[OrderDate]])</f>
        <v>6</v>
      </c>
      <c r="P267" t="str">
        <f>TEXT(CleanedSalesData[[#This Row],[OrderDate]], "yyyy-mm")</f>
        <v>2025-06</v>
      </c>
    </row>
    <row r="268" spans="1:16" x14ac:dyDescent="0.3">
      <c r="A268" s="3" t="s">
        <v>282</v>
      </c>
      <c r="B268" s="4">
        <v>45748</v>
      </c>
      <c r="C268" s="3" t="s">
        <v>516</v>
      </c>
      <c r="D268" s="3" t="s">
        <v>522</v>
      </c>
      <c r="E268" s="3" t="s">
        <v>539</v>
      </c>
      <c r="F268" s="3" t="s">
        <v>573</v>
      </c>
      <c r="G268" s="3" t="s">
        <v>581</v>
      </c>
      <c r="H268">
        <v>5</v>
      </c>
      <c r="I268" s="5">
        <v>12506.36</v>
      </c>
      <c r="J268">
        <v>0.1</v>
      </c>
      <c r="K268" s="5">
        <v>56278.62</v>
      </c>
      <c r="L268" s="5">
        <v>44066.16</v>
      </c>
      <c r="M268" s="5">
        <v>12212.46</v>
      </c>
      <c r="N268">
        <f>YEAR(CleanedSalesData[[#This Row],[OrderDate]])</f>
        <v>2025</v>
      </c>
      <c r="O268">
        <f>MONTH(CleanedSalesData[[#This Row],[OrderDate]])</f>
        <v>4</v>
      </c>
      <c r="P268" t="str">
        <f>TEXT(CleanedSalesData[[#This Row],[OrderDate]], "yyyy-mm")</f>
        <v>2025-04</v>
      </c>
    </row>
    <row r="269" spans="1:16" x14ac:dyDescent="0.3">
      <c r="A269" s="3" t="s">
        <v>283</v>
      </c>
      <c r="B269" s="4">
        <v>45607</v>
      </c>
      <c r="C269" s="3" t="s">
        <v>516</v>
      </c>
      <c r="D269" s="3" t="s">
        <v>522</v>
      </c>
      <c r="E269" s="3" t="s">
        <v>545</v>
      </c>
      <c r="F269" s="3" t="s">
        <v>571</v>
      </c>
      <c r="G269" s="3" t="s">
        <v>574</v>
      </c>
      <c r="H269">
        <v>2</v>
      </c>
      <c r="I269" s="5">
        <v>47529.97</v>
      </c>
      <c r="J269">
        <v>0.1</v>
      </c>
      <c r="K269" s="5">
        <v>85553.95</v>
      </c>
      <c r="L269" s="5">
        <v>57064.480000000003</v>
      </c>
      <c r="M269" s="5">
        <v>28489.47</v>
      </c>
      <c r="N269">
        <f>YEAR(CleanedSalesData[[#This Row],[OrderDate]])</f>
        <v>2024</v>
      </c>
      <c r="O269">
        <f>MONTH(CleanedSalesData[[#This Row],[OrderDate]])</f>
        <v>11</v>
      </c>
      <c r="P269" t="str">
        <f>TEXT(CleanedSalesData[[#This Row],[OrderDate]], "yyyy-mm")</f>
        <v>2024-11</v>
      </c>
    </row>
    <row r="270" spans="1:16" x14ac:dyDescent="0.3">
      <c r="A270" s="3" t="s">
        <v>284</v>
      </c>
      <c r="B270" s="4">
        <v>45357</v>
      </c>
      <c r="C270" s="3" t="s">
        <v>517</v>
      </c>
      <c r="D270" s="3" t="s">
        <v>536</v>
      </c>
      <c r="E270" s="3" t="s">
        <v>560</v>
      </c>
      <c r="F270" s="3" t="s">
        <v>572</v>
      </c>
      <c r="G270" s="3" t="s">
        <v>588</v>
      </c>
      <c r="H270">
        <v>2</v>
      </c>
      <c r="I270" s="5">
        <v>609.83000000000004</v>
      </c>
      <c r="J270">
        <v>0.05</v>
      </c>
      <c r="K270" s="5">
        <v>1158.68</v>
      </c>
      <c r="L270" s="5">
        <v>1015</v>
      </c>
      <c r="M270" s="5">
        <v>143.68</v>
      </c>
      <c r="N270">
        <f>YEAR(CleanedSalesData[[#This Row],[OrderDate]])</f>
        <v>2024</v>
      </c>
      <c r="O270">
        <f>MONTH(CleanedSalesData[[#This Row],[OrderDate]])</f>
        <v>3</v>
      </c>
      <c r="P270" t="str">
        <f>TEXT(CleanedSalesData[[#This Row],[OrderDate]], "yyyy-mm")</f>
        <v>2024-03</v>
      </c>
    </row>
    <row r="271" spans="1:16" x14ac:dyDescent="0.3">
      <c r="A271" s="3" t="s">
        <v>285</v>
      </c>
      <c r="B271" s="4">
        <v>45722</v>
      </c>
      <c r="C271" s="3" t="s">
        <v>520</v>
      </c>
      <c r="D271" s="3" t="s">
        <v>535</v>
      </c>
      <c r="E271" s="3" t="s">
        <v>559</v>
      </c>
      <c r="F271" s="3" t="s">
        <v>572</v>
      </c>
      <c r="G271" s="3" t="s">
        <v>586</v>
      </c>
      <c r="H271">
        <v>1</v>
      </c>
      <c r="I271" s="5">
        <v>206.49</v>
      </c>
      <c r="J271">
        <v>0</v>
      </c>
      <c r="K271" s="5">
        <v>206.49</v>
      </c>
      <c r="L271" s="5">
        <v>188.11</v>
      </c>
      <c r="M271" s="5">
        <v>18.38</v>
      </c>
      <c r="N271">
        <f>YEAR(CleanedSalesData[[#This Row],[OrderDate]])</f>
        <v>2025</v>
      </c>
      <c r="O271">
        <f>MONTH(CleanedSalesData[[#This Row],[OrderDate]])</f>
        <v>3</v>
      </c>
      <c r="P271" t="str">
        <f>TEXT(CleanedSalesData[[#This Row],[OrderDate]], "yyyy-mm")</f>
        <v>2025-03</v>
      </c>
    </row>
    <row r="272" spans="1:16" x14ac:dyDescent="0.3">
      <c r="A272" s="3" t="s">
        <v>286</v>
      </c>
      <c r="B272" s="4">
        <v>45844</v>
      </c>
      <c r="C272" s="3" t="s">
        <v>518</v>
      </c>
      <c r="D272" s="3" t="s">
        <v>524</v>
      </c>
      <c r="E272" s="3" t="s">
        <v>541</v>
      </c>
      <c r="F272" s="3" t="s">
        <v>571</v>
      </c>
      <c r="G272" s="3" t="s">
        <v>574</v>
      </c>
      <c r="H272">
        <v>4</v>
      </c>
      <c r="I272" s="5">
        <v>79449.2</v>
      </c>
      <c r="J272">
        <v>0</v>
      </c>
      <c r="K272" s="5">
        <v>317796.8</v>
      </c>
      <c r="L272" s="5">
        <v>244067.94</v>
      </c>
      <c r="M272" s="5">
        <v>73728.86</v>
      </c>
      <c r="N272">
        <f>YEAR(CleanedSalesData[[#This Row],[OrderDate]])</f>
        <v>2025</v>
      </c>
      <c r="O272">
        <f>MONTH(CleanedSalesData[[#This Row],[OrderDate]])</f>
        <v>7</v>
      </c>
      <c r="P272" t="str">
        <f>TEXT(CleanedSalesData[[#This Row],[OrderDate]], "yyyy-mm")</f>
        <v>2025-07</v>
      </c>
    </row>
    <row r="273" spans="1:16" x14ac:dyDescent="0.3">
      <c r="A273" s="3" t="s">
        <v>287</v>
      </c>
      <c r="B273" s="4">
        <v>45422</v>
      </c>
      <c r="C273" s="3" t="s">
        <v>518</v>
      </c>
      <c r="D273" s="3" t="s">
        <v>537</v>
      </c>
      <c r="E273" s="3" t="s">
        <v>561</v>
      </c>
      <c r="F273" s="3" t="s">
        <v>572</v>
      </c>
      <c r="G273" s="3" t="s">
        <v>586</v>
      </c>
      <c r="H273">
        <v>1</v>
      </c>
      <c r="I273" s="5">
        <v>1363.32</v>
      </c>
      <c r="J273">
        <v>0</v>
      </c>
      <c r="K273" s="5">
        <v>1363.32</v>
      </c>
      <c r="L273" s="5">
        <v>1019.76</v>
      </c>
      <c r="M273" s="5">
        <v>343.56</v>
      </c>
      <c r="N273">
        <f>YEAR(CleanedSalesData[[#This Row],[OrderDate]])</f>
        <v>2024</v>
      </c>
      <c r="O273">
        <f>MONTH(CleanedSalesData[[#This Row],[OrderDate]])</f>
        <v>5</v>
      </c>
      <c r="P273" t="str">
        <f>TEXT(CleanedSalesData[[#This Row],[OrderDate]], "yyyy-mm")</f>
        <v>2024-05</v>
      </c>
    </row>
    <row r="274" spans="1:16" x14ac:dyDescent="0.3">
      <c r="A274" s="3" t="s">
        <v>288</v>
      </c>
      <c r="B274" s="4">
        <v>45836</v>
      </c>
      <c r="C274" s="3" t="s">
        <v>519</v>
      </c>
      <c r="D274" s="3" t="s">
        <v>533</v>
      </c>
      <c r="E274" s="3" t="s">
        <v>570</v>
      </c>
      <c r="F274" s="3" t="s">
        <v>572</v>
      </c>
      <c r="G274" s="3" t="s">
        <v>577</v>
      </c>
      <c r="H274">
        <v>1</v>
      </c>
      <c r="I274" s="5">
        <v>352.49</v>
      </c>
      <c r="J274">
        <v>0.15</v>
      </c>
      <c r="K274" s="5">
        <v>299.62</v>
      </c>
      <c r="L274" s="5">
        <v>252.58</v>
      </c>
      <c r="M274" s="5">
        <v>47.04</v>
      </c>
      <c r="N274">
        <f>YEAR(CleanedSalesData[[#This Row],[OrderDate]])</f>
        <v>2025</v>
      </c>
      <c r="O274">
        <f>MONTH(CleanedSalesData[[#This Row],[OrderDate]])</f>
        <v>6</v>
      </c>
      <c r="P274" t="str">
        <f>TEXT(CleanedSalesData[[#This Row],[OrderDate]], "yyyy-mm")</f>
        <v>2025-06</v>
      </c>
    </row>
    <row r="275" spans="1:16" x14ac:dyDescent="0.3">
      <c r="A275" s="3" t="s">
        <v>289</v>
      </c>
      <c r="B275" s="4">
        <v>45407</v>
      </c>
      <c r="C275" s="3" t="s">
        <v>516</v>
      </c>
      <c r="D275" s="3" t="s">
        <v>522</v>
      </c>
      <c r="E275" s="3" t="s">
        <v>539</v>
      </c>
      <c r="F275" s="3" t="s">
        <v>571</v>
      </c>
      <c r="G275" s="3" t="s">
        <v>574</v>
      </c>
      <c r="H275">
        <v>1</v>
      </c>
      <c r="I275" s="5">
        <v>8181.4</v>
      </c>
      <c r="J275">
        <v>0</v>
      </c>
      <c r="K275" s="5">
        <v>8181.4</v>
      </c>
      <c r="L275" s="5">
        <v>6127.87</v>
      </c>
      <c r="M275" s="5">
        <v>2053.5300000000002</v>
      </c>
      <c r="N275">
        <f>YEAR(CleanedSalesData[[#This Row],[OrderDate]])</f>
        <v>2024</v>
      </c>
      <c r="O275">
        <f>MONTH(CleanedSalesData[[#This Row],[OrderDate]])</f>
        <v>4</v>
      </c>
      <c r="P275" t="str">
        <f>TEXT(CleanedSalesData[[#This Row],[OrderDate]], "yyyy-mm")</f>
        <v>2024-04</v>
      </c>
    </row>
    <row r="276" spans="1:16" x14ac:dyDescent="0.3">
      <c r="A276" s="3" t="s">
        <v>290</v>
      </c>
      <c r="B276" s="4">
        <v>45749</v>
      </c>
      <c r="C276" s="3" t="s">
        <v>517</v>
      </c>
      <c r="D276" s="3" t="s">
        <v>536</v>
      </c>
      <c r="E276" s="3" t="s">
        <v>560</v>
      </c>
      <c r="F276" s="3" t="s">
        <v>573</v>
      </c>
      <c r="G276" s="3" t="s">
        <v>582</v>
      </c>
      <c r="H276">
        <v>1</v>
      </c>
      <c r="I276" s="5">
        <v>11252.1</v>
      </c>
      <c r="J276">
        <v>0</v>
      </c>
      <c r="K276" s="5">
        <v>11252.1</v>
      </c>
      <c r="L276" s="5">
        <v>8079.01</v>
      </c>
      <c r="M276" s="5">
        <v>3173.09</v>
      </c>
      <c r="N276">
        <f>YEAR(CleanedSalesData[[#This Row],[OrderDate]])</f>
        <v>2025</v>
      </c>
      <c r="O276">
        <f>MONTH(CleanedSalesData[[#This Row],[OrderDate]])</f>
        <v>4</v>
      </c>
      <c r="P276" t="str">
        <f>TEXT(CleanedSalesData[[#This Row],[OrderDate]], "yyyy-mm")</f>
        <v>2025-04</v>
      </c>
    </row>
    <row r="277" spans="1:16" x14ac:dyDescent="0.3">
      <c r="A277" s="3" t="s">
        <v>291</v>
      </c>
      <c r="B277" s="4">
        <v>45514</v>
      </c>
      <c r="C277" s="3" t="s">
        <v>516</v>
      </c>
      <c r="D277" s="3" t="s">
        <v>527</v>
      </c>
      <c r="E277" s="3" t="s">
        <v>558</v>
      </c>
      <c r="F277" s="3" t="s">
        <v>571</v>
      </c>
      <c r="G277" s="3" t="s">
        <v>579</v>
      </c>
      <c r="H277">
        <v>1</v>
      </c>
      <c r="I277" s="5">
        <v>27555.58</v>
      </c>
      <c r="J277">
        <v>0</v>
      </c>
      <c r="K277" s="5">
        <v>27555.58</v>
      </c>
      <c r="L277" s="5">
        <v>19123.57</v>
      </c>
      <c r="M277" s="5">
        <v>8432.01</v>
      </c>
      <c r="N277">
        <f>YEAR(CleanedSalesData[[#This Row],[OrderDate]])</f>
        <v>2024</v>
      </c>
      <c r="O277">
        <f>MONTH(CleanedSalesData[[#This Row],[OrderDate]])</f>
        <v>8</v>
      </c>
      <c r="P277" t="str">
        <f>TEXT(CleanedSalesData[[#This Row],[OrderDate]], "yyyy-mm")</f>
        <v>2024-08</v>
      </c>
    </row>
    <row r="278" spans="1:16" x14ac:dyDescent="0.3">
      <c r="A278" s="3" t="s">
        <v>292</v>
      </c>
      <c r="B278" s="4">
        <v>45620</v>
      </c>
      <c r="C278" s="3" t="s">
        <v>518</v>
      </c>
      <c r="D278" s="3" t="s">
        <v>529</v>
      </c>
      <c r="E278" s="3" t="s">
        <v>548</v>
      </c>
      <c r="F278" s="3" t="s">
        <v>573</v>
      </c>
      <c r="G278" s="3" t="s">
        <v>584</v>
      </c>
      <c r="H278">
        <v>1</v>
      </c>
      <c r="I278" s="5">
        <v>7083.98</v>
      </c>
      <c r="J278">
        <v>0</v>
      </c>
      <c r="K278" s="5">
        <v>7083.98</v>
      </c>
      <c r="L278" s="5">
        <v>5539.67</v>
      </c>
      <c r="M278" s="5">
        <v>1544.31</v>
      </c>
      <c r="N278">
        <f>YEAR(CleanedSalesData[[#This Row],[OrderDate]])</f>
        <v>2024</v>
      </c>
      <c r="O278">
        <f>MONTH(CleanedSalesData[[#This Row],[OrderDate]])</f>
        <v>11</v>
      </c>
      <c r="P278" t="str">
        <f>TEXT(CleanedSalesData[[#This Row],[OrderDate]], "yyyy-mm")</f>
        <v>2024-11</v>
      </c>
    </row>
    <row r="279" spans="1:16" x14ac:dyDescent="0.3">
      <c r="A279" s="3" t="s">
        <v>293</v>
      </c>
      <c r="B279" s="4">
        <v>45354</v>
      </c>
      <c r="C279" s="3" t="s">
        <v>517</v>
      </c>
      <c r="D279" s="3" t="s">
        <v>523</v>
      </c>
      <c r="E279" s="3" t="s">
        <v>540</v>
      </c>
      <c r="F279" s="3" t="s">
        <v>573</v>
      </c>
      <c r="G279" s="3" t="s">
        <v>581</v>
      </c>
      <c r="H279">
        <v>3</v>
      </c>
      <c r="I279" s="5">
        <v>3078.33</v>
      </c>
      <c r="J279">
        <v>0</v>
      </c>
      <c r="K279" s="5">
        <v>9234.99</v>
      </c>
      <c r="L279" s="5">
        <v>7655.81</v>
      </c>
      <c r="M279" s="5">
        <v>1579.18</v>
      </c>
      <c r="N279">
        <f>YEAR(CleanedSalesData[[#This Row],[OrderDate]])</f>
        <v>2024</v>
      </c>
      <c r="O279">
        <f>MONTH(CleanedSalesData[[#This Row],[OrderDate]])</f>
        <v>3</v>
      </c>
      <c r="P279" t="str">
        <f>TEXT(CleanedSalesData[[#This Row],[OrderDate]], "yyyy-mm")</f>
        <v>2024-03</v>
      </c>
    </row>
    <row r="280" spans="1:16" x14ac:dyDescent="0.3">
      <c r="A280" s="3" t="s">
        <v>294</v>
      </c>
      <c r="B280" s="4">
        <v>45682</v>
      </c>
      <c r="C280" s="3" t="s">
        <v>517</v>
      </c>
      <c r="D280" s="3" t="s">
        <v>531</v>
      </c>
      <c r="E280" s="3" t="s">
        <v>563</v>
      </c>
      <c r="F280" s="3" t="s">
        <v>572</v>
      </c>
      <c r="G280" s="3" t="s">
        <v>583</v>
      </c>
      <c r="H280">
        <v>1</v>
      </c>
      <c r="I280" s="5">
        <v>634.78</v>
      </c>
      <c r="J280">
        <v>0.15</v>
      </c>
      <c r="K280" s="5">
        <v>539.55999999999995</v>
      </c>
      <c r="L280" s="5">
        <v>507.73</v>
      </c>
      <c r="M280" s="5">
        <v>31.83</v>
      </c>
      <c r="N280">
        <f>YEAR(CleanedSalesData[[#This Row],[OrderDate]])</f>
        <v>2025</v>
      </c>
      <c r="O280">
        <f>MONTH(CleanedSalesData[[#This Row],[OrderDate]])</f>
        <v>1</v>
      </c>
      <c r="P280" t="str">
        <f>TEXT(CleanedSalesData[[#This Row],[OrderDate]], "yyyy-mm")</f>
        <v>2025-01</v>
      </c>
    </row>
    <row r="281" spans="1:16" x14ac:dyDescent="0.3">
      <c r="A281" s="3" t="s">
        <v>295</v>
      </c>
      <c r="B281" s="4">
        <v>45776</v>
      </c>
      <c r="C281" s="3" t="s">
        <v>518</v>
      </c>
      <c r="D281" s="3" t="s">
        <v>537</v>
      </c>
      <c r="E281" s="3" t="s">
        <v>569</v>
      </c>
      <c r="F281" s="3" t="s">
        <v>573</v>
      </c>
      <c r="G281" s="3" t="s">
        <v>585</v>
      </c>
      <c r="H281">
        <v>2</v>
      </c>
      <c r="I281" s="5">
        <v>20532.849999999999</v>
      </c>
      <c r="J281">
        <v>0</v>
      </c>
      <c r="K281" s="5">
        <v>41065.699999999997</v>
      </c>
      <c r="L281" s="5">
        <v>31374.19</v>
      </c>
      <c r="M281" s="5">
        <v>9691.51</v>
      </c>
      <c r="N281">
        <f>YEAR(CleanedSalesData[[#This Row],[OrderDate]])</f>
        <v>2025</v>
      </c>
      <c r="O281">
        <f>MONTH(CleanedSalesData[[#This Row],[OrderDate]])</f>
        <v>4</v>
      </c>
      <c r="P281" t="str">
        <f>TEXT(CleanedSalesData[[#This Row],[OrderDate]], "yyyy-mm")</f>
        <v>2025-04</v>
      </c>
    </row>
    <row r="282" spans="1:16" x14ac:dyDescent="0.3">
      <c r="A282" s="3" t="s">
        <v>296</v>
      </c>
      <c r="B282" s="4">
        <v>45867</v>
      </c>
      <c r="C282" s="3" t="s">
        <v>519</v>
      </c>
      <c r="D282" s="3" t="s">
        <v>534</v>
      </c>
      <c r="E282" s="3" t="s">
        <v>566</v>
      </c>
      <c r="F282" s="3" t="s">
        <v>572</v>
      </c>
      <c r="G282" s="3" t="s">
        <v>583</v>
      </c>
      <c r="H282">
        <v>2</v>
      </c>
      <c r="I282" s="5">
        <v>547.24</v>
      </c>
      <c r="J282">
        <v>0</v>
      </c>
      <c r="K282" s="5">
        <v>1094.48</v>
      </c>
      <c r="L282" s="5">
        <v>969.71</v>
      </c>
      <c r="M282" s="5">
        <v>124.77</v>
      </c>
      <c r="N282">
        <f>YEAR(CleanedSalesData[[#This Row],[OrderDate]])</f>
        <v>2025</v>
      </c>
      <c r="O282">
        <f>MONTH(CleanedSalesData[[#This Row],[OrderDate]])</f>
        <v>7</v>
      </c>
      <c r="P282" t="str">
        <f>TEXT(CleanedSalesData[[#This Row],[OrderDate]], "yyyy-mm")</f>
        <v>2025-07</v>
      </c>
    </row>
    <row r="283" spans="1:16" x14ac:dyDescent="0.3">
      <c r="A283" s="3" t="s">
        <v>297</v>
      </c>
      <c r="B283" s="4">
        <v>45372</v>
      </c>
      <c r="C283" s="3" t="s">
        <v>519</v>
      </c>
      <c r="D283" s="3" t="s">
        <v>532</v>
      </c>
      <c r="E283" s="3" t="s">
        <v>564</v>
      </c>
      <c r="F283" s="3" t="s">
        <v>573</v>
      </c>
      <c r="G283" s="3" t="s">
        <v>585</v>
      </c>
      <c r="H283">
        <v>1</v>
      </c>
      <c r="I283" s="5">
        <v>3185.34</v>
      </c>
      <c r="J283">
        <v>0</v>
      </c>
      <c r="K283" s="5">
        <v>3185.34</v>
      </c>
      <c r="L283" s="5">
        <v>3013.33</v>
      </c>
      <c r="M283" s="5">
        <v>172.01</v>
      </c>
      <c r="N283">
        <f>YEAR(CleanedSalesData[[#This Row],[OrderDate]])</f>
        <v>2024</v>
      </c>
      <c r="O283">
        <f>MONTH(CleanedSalesData[[#This Row],[OrderDate]])</f>
        <v>3</v>
      </c>
      <c r="P283" t="str">
        <f>TEXT(CleanedSalesData[[#This Row],[OrderDate]], "yyyy-mm")</f>
        <v>2024-03</v>
      </c>
    </row>
    <row r="284" spans="1:16" x14ac:dyDescent="0.3">
      <c r="A284" s="3" t="s">
        <v>298</v>
      </c>
      <c r="B284" s="4">
        <v>45332</v>
      </c>
      <c r="C284" s="3" t="s">
        <v>516</v>
      </c>
      <c r="D284" s="3" t="s">
        <v>527</v>
      </c>
      <c r="E284" s="3" t="s">
        <v>546</v>
      </c>
      <c r="F284" s="3" t="s">
        <v>572</v>
      </c>
      <c r="G284" s="3" t="s">
        <v>583</v>
      </c>
      <c r="H284">
        <v>1</v>
      </c>
      <c r="I284" s="5">
        <v>1745.47</v>
      </c>
      <c r="J284">
        <v>0</v>
      </c>
      <c r="K284" s="5">
        <v>1745.47</v>
      </c>
      <c r="L284" s="5">
        <v>1349.25</v>
      </c>
      <c r="M284" s="5">
        <v>396.22</v>
      </c>
      <c r="N284">
        <f>YEAR(CleanedSalesData[[#This Row],[OrderDate]])</f>
        <v>2024</v>
      </c>
      <c r="O284">
        <f>MONTH(CleanedSalesData[[#This Row],[OrderDate]])</f>
        <v>2</v>
      </c>
      <c r="P284" t="str">
        <f>TEXT(CleanedSalesData[[#This Row],[OrderDate]], "yyyy-mm")</f>
        <v>2024-02</v>
      </c>
    </row>
    <row r="285" spans="1:16" x14ac:dyDescent="0.3">
      <c r="A285" s="3" t="s">
        <v>299</v>
      </c>
      <c r="B285" s="4">
        <v>45307</v>
      </c>
      <c r="C285" s="3" t="s">
        <v>518</v>
      </c>
      <c r="D285" s="3" t="s">
        <v>537</v>
      </c>
      <c r="E285" s="3" t="s">
        <v>561</v>
      </c>
      <c r="F285" s="3" t="s">
        <v>573</v>
      </c>
      <c r="G285" s="3" t="s">
        <v>581</v>
      </c>
      <c r="H285">
        <v>1</v>
      </c>
      <c r="I285" s="5">
        <v>23032.15</v>
      </c>
      <c r="J285">
        <v>0</v>
      </c>
      <c r="K285" s="5">
        <v>23032.15</v>
      </c>
      <c r="L285" s="5">
        <v>18863.330000000002</v>
      </c>
      <c r="M285" s="5">
        <v>4168.82</v>
      </c>
      <c r="N285">
        <f>YEAR(CleanedSalesData[[#This Row],[OrderDate]])</f>
        <v>2024</v>
      </c>
      <c r="O285">
        <f>MONTH(CleanedSalesData[[#This Row],[OrderDate]])</f>
        <v>1</v>
      </c>
      <c r="P285" t="str">
        <f>TEXT(CleanedSalesData[[#This Row],[OrderDate]], "yyyy-mm")</f>
        <v>2024-01</v>
      </c>
    </row>
    <row r="286" spans="1:16" x14ac:dyDescent="0.3">
      <c r="A286" s="3" t="s">
        <v>300</v>
      </c>
      <c r="B286" s="4">
        <v>45501</v>
      </c>
      <c r="C286" s="3" t="s">
        <v>519</v>
      </c>
      <c r="D286" s="3" t="s">
        <v>533</v>
      </c>
      <c r="E286" s="3" t="s">
        <v>555</v>
      </c>
      <c r="F286" s="3" t="s">
        <v>572</v>
      </c>
      <c r="G286" s="3" t="s">
        <v>586</v>
      </c>
      <c r="H286">
        <v>3</v>
      </c>
      <c r="I286" s="5">
        <v>959.19</v>
      </c>
      <c r="J286">
        <v>0</v>
      </c>
      <c r="K286" s="5">
        <v>2877.57</v>
      </c>
      <c r="L286" s="5">
        <v>2434.42</v>
      </c>
      <c r="M286" s="5">
        <v>443.15</v>
      </c>
      <c r="N286">
        <f>YEAR(CleanedSalesData[[#This Row],[OrderDate]])</f>
        <v>2024</v>
      </c>
      <c r="O286">
        <f>MONTH(CleanedSalesData[[#This Row],[OrderDate]])</f>
        <v>7</v>
      </c>
      <c r="P286" t="str">
        <f>TEXT(CleanedSalesData[[#This Row],[OrderDate]], "yyyy-mm")</f>
        <v>2024-07</v>
      </c>
    </row>
    <row r="287" spans="1:16" x14ac:dyDescent="0.3">
      <c r="A287" s="3" t="s">
        <v>301</v>
      </c>
      <c r="B287" s="4">
        <v>45607</v>
      </c>
      <c r="C287" s="3" t="s">
        <v>520</v>
      </c>
      <c r="D287" s="3" t="s">
        <v>535</v>
      </c>
      <c r="E287" s="3" t="s">
        <v>559</v>
      </c>
      <c r="F287" s="3" t="s">
        <v>572</v>
      </c>
      <c r="G287" s="3" t="s">
        <v>588</v>
      </c>
      <c r="H287">
        <v>1</v>
      </c>
      <c r="I287" s="5">
        <v>1615.49</v>
      </c>
      <c r="J287">
        <v>0</v>
      </c>
      <c r="K287" s="5">
        <v>1615.49</v>
      </c>
      <c r="L287" s="5">
        <v>1155.08</v>
      </c>
      <c r="M287" s="5">
        <v>460.41</v>
      </c>
      <c r="N287">
        <f>YEAR(CleanedSalesData[[#This Row],[OrderDate]])</f>
        <v>2024</v>
      </c>
      <c r="O287">
        <f>MONTH(CleanedSalesData[[#This Row],[OrderDate]])</f>
        <v>11</v>
      </c>
      <c r="P287" t="str">
        <f>TEXT(CleanedSalesData[[#This Row],[OrderDate]], "yyyy-mm")</f>
        <v>2024-11</v>
      </c>
    </row>
    <row r="288" spans="1:16" x14ac:dyDescent="0.3">
      <c r="A288" s="3" t="s">
        <v>302</v>
      </c>
      <c r="B288" s="4">
        <v>45619</v>
      </c>
      <c r="C288" s="3" t="s">
        <v>518</v>
      </c>
      <c r="D288" s="3" t="s">
        <v>529</v>
      </c>
      <c r="E288" s="3" t="s">
        <v>553</v>
      </c>
      <c r="F288" s="3" t="s">
        <v>572</v>
      </c>
      <c r="G288" s="3" t="s">
        <v>588</v>
      </c>
      <c r="H288">
        <v>1</v>
      </c>
      <c r="I288" s="5">
        <v>1146.92</v>
      </c>
      <c r="J288">
        <v>0</v>
      </c>
      <c r="K288" s="5">
        <v>1146.92</v>
      </c>
      <c r="L288" s="5">
        <v>875.1</v>
      </c>
      <c r="M288" s="5">
        <v>271.82</v>
      </c>
      <c r="N288">
        <f>YEAR(CleanedSalesData[[#This Row],[OrderDate]])</f>
        <v>2024</v>
      </c>
      <c r="O288">
        <f>MONTH(CleanedSalesData[[#This Row],[OrderDate]])</f>
        <v>11</v>
      </c>
      <c r="P288" t="str">
        <f>TEXT(CleanedSalesData[[#This Row],[OrderDate]], "yyyy-mm")</f>
        <v>2024-11</v>
      </c>
    </row>
    <row r="289" spans="1:16" x14ac:dyDescent="0.3">
      <c r="A289" s="3" t="s">
        <v>303</v>
      </c>
      <c r="B289" s="4">
        <v>45441</v>
      </c>
      <c r="C289" s="3" t="s">
        <v>516</v>
      </c>
      <c r="D289" s="3" t="s">
        <v>521</v>
      </c>
      <c r="E289" s="3" t="s">
        <v>568</v>
      </c>
      <c r="F289" s="3" t="s">
        <v>572</v>
      </c>
      <c r="G289" s="3" t="s">
        <v>583</v>
      </c>
      <c r="H289">
        <v>3</v>
      </c>
      <c r="I289" s="5">
        <v>432.57</v>
      </c>
      <c r="J289">
        <v>0</v>
      </c>
      <c r="K289" s="5">
        <v>1297.71</v>
      </c>
      <c r="L289" s="5">
        <v>862.98</v>
      </c>
      <c r="M289" s="5">
        <v>434.73</v>
      </c>
      <c r="N289">
        <f>YEAR(CleanedSalesData[[#This Row],[OrderDate]])</f>
        <v>2024</v>
      </c>
      <c r="O289">
        <f>MONTH(CleanedSalesData[[#This Row],[OrderDate]])</f>
        <v>5</v>
      </c>
      <c r="P289" t="str">
        <f>TEXT(CleanedSalesData[[#This Row],[OrderDate]], "yyyy-mm")</f>
        <v>2024-05</v>
      </c>
    </row>
    <row r="290" spans="1:16" x14ac:dyDescent="0.3">
      <c r="A290" s="3" t="s">
        <v>304</v>
      </c>
      <c r="B290" s="4">
        <v>45875</v>
      </c>
      <c r="C290" s="3" t="s">
        <v>518</v>
      </c>
      <c r="D290" s="3" t="s">
        <v>529</v>
      </c>
      <c r="E290" s="3" t="s">
        <v>553</v>
      </c>
      <c r="F290" s="3" t="s">
        <v>572</v>
      </c>
      <c r="G290" s="3" t="s">
        <v>586</v>
      </c>
      <c r="H290">
        <v>1</v>
      </c>
      <c r="I290" s="5">
        <v>1934.69</v>
      </c>
      <c r="J290">
        <v>0</v>
      </c>
      <c r="K290" s="5">
        <v>1934.69</v>
      </c>
      <c r="L290" s="5">
        <v>1300.1099999999999</v>
      </c>
      <c r="M290" s="5">
        <v>634.58000000000004</v>
      </c>
      <c r="N290">
        <f>YEAR(CleanedSalesData[[#This Row],[OrderDate]])</f>
        <v>2025</v>
      </c>
      <c r="O290">
        <f>MONTH(CleanedSalesData[[#This Row],[OrderDate]])</f>
        <v>8</v>
      </c>
      <c r="P290" t="str">
        <f>TEXT(CleanedSalesData[[#This Row],[OrderDate]], "yyyy-mm")</f>
        <v>2025-08</v>
      </c>
    </row>
    <row r="291" spans="1:16" x14ac:dyDescent="0.3">
      <c r="A291" s="3" t="s">
        <v>305</v>
      </c>
      <c r="B291" s="4">
        <v>45794</v>
      </c>
      <c r="C291" s="3" t="s">
        <v>519</v>
      </c>
      <c r="D291" s="3" t="s">
        <v>533</v>
      </c>
      <c r="E291" s="3" t="s">
        <v>555</v>
      </c>
      <c r="F291" s="3" t="s">
        <v>571</v>
      </c>
      <c r="G291" s="3" t="s">
        <v>574</v>
      </c>
      <c r="H291">
        <v>1</v>
      </c>
      <c r="I291" s="5">
        <v>58464.14</v>
      </c>
      <c r="J291">
        <v>0</v>
      </c>
      <c r="K291" s="5">
        <v>58464.14</v>
      </c>
      <c r="L291" s="5">
        <v>51039.19</v>
      </c>
      <c r="M291" s="5">
        <v>7424.95</v>
      </c>
      <c r="N291">
        <f>YEAR(CleanedSalesData[[#This Row],[OrderDate]])</f>
        <v>2025</v>
      </c>
      <c r="O291">
        <f>MONTH(CleanedSalesData[[#This Row],[OrderDate]])</f>
        <v>5</v>
      </c>
      <c r="P291" t="str">
        <f>TEXT(CleanedSalesData[[#This Row],[OrderDate]], "yyyy-mm")</f>
        <v>2025-05</v>
      </c>
    </row>
    <row r="292" spans="1:16" x14ac:dyDescent="0.3">
      <c r="A292" s="3" t="s">
        <v>306</v>
      </c>
      <c r="B292" s="4">
        <v>45847</v>
      </c>
      <c r="C292" s="3" t="s">
        <v>516</v>
      </c>
      <c r="D292" s="3" t="s">
        <v>525</v>
      </c>
      <c r="E292" s="3" t="s">
        <v>557</v>
      </c>
      <c r="F292" s="3" t="s">
        <v>573</v>
      </c>
      <c r="G292" s="3" t="s">
        <v>582</v>
      </c>
      <c r="H292">
        <v>1</v>
      </c>
      <c r="I292" s="5">
        <v>19579.79</v>
      </c>
      <c r="J292">
        <v>0</v>
      </c>
      <c r="K292" s="5">
        <v>19579.79</v>
      </c>
      <c r="L292" s="5">
        <v>12844.34</v>
      </c>
      <c r="M292" s="5">
        <v>6735.45</v>
      </c>
      <c r="N292">
        <f>YEAR(CleanedSalesData[[#This Row],[OrderDate]])</f>
        <v>2025</v>
      </c>
      <c r="O292">
        <f>MONTH(CleanedSalesData[[#This Row],[OrderDate]])</f>
        <v>7</v>
      </c>
      <c r="P292" t="str">
        <f>TEXT(CleanedSalesData[[#This Row],[OrderDate]], "yyyy-mm")</f>
        <v>2025-07</v>
      </c>
    </row>
    <row r="293" spans="1:16" x14ac:dyDescent="0.3">
      <c r="A293" s="3" t="s">
        <v>307</v>
      </c>
      <c r="B293" s="4">
        <v>45528</v>
      </c>
      <c r="C293" s="3" t="s">
        <v>516</v>
      </c>
      <c r="D293" s="3" t="s">
        <v>527</v>
      </c>
      <c r="E293" s="3" t="s">
        <v>546</v>
      </c>
      <c r="F293" s="3" t="s">
        <v>571</v>
      </c>
      <c r="G293" s="3" t="s">
        <v>579</v>
      </c>
      <c r="H293">
        <v>1</v>
      </c>
      <c r="I293" s="5">
        <v>38112.74</v>
      </c>
      <c r="J293">
        <v>0.15</v>
      </c>
      <c r="K293" s="5">
        <v>32395.83</v>
      </c>
      <c r="L293" s="5">
        <v>27568.85</v>
      </c>
      <c r="M293" s="5">
        <v>4826.9799999999996</v>
      </c>
      <c r="N293">
        <f>YEAR(CleanedSalesData[[#This Row],[OrderDate]])</f>
        <v>2024</v>
      </c>
      <c r="O293">
        <f>MONTH(CleanedSalesData[[#This Row],[OrderDate]])</f>
        <v>8</v>
      </c>
      <c r="P293" t="str">
        <f>TEXT(CleanedSalesData[[#This Row],[OrderDate]], "yyyy-mm")</f>
        <v>2024-08</v>
      </c>
    </row>
    <row r="294" spans="1:16" x14ac:dyDescent="0.3">
      <c r="A294" s="3" t="s">
        <v>308</v>
      </c>
      <c r="B294" s="4">
        <v>45786</v>
      </c>
      <c r="C294" s="3" t="s">
        <v>519</v>
      </c>
      <c r="D294" s="3" t="s">
        <v>526</v>
      </c>
      <c r="E294" s="3" t="s">
        <v>562</v>
      </c>
      <c r="F294" s="3" t="s">
        <v>573</v>
      </c>
      <c r="G294" s="3" t="s">
        <v>584</v>
      </c>
      <c r="H294">
        <v>1</v>
      </c>
      <c r="I294" s="5">
        <v>11460.79</v>
      </c>
      <c r="J294">
        <v>0.15</v>
      </c>
      <c r="K294" s="5">
        <v>9741.67</v>
      </c>
      <c r="L294" s="5">
        <v>8553.19</v>
      </c>
      <c r="M294" s="5">
        <v>1188.48</v>
      </c>
      <c r="N294">
        <f>YEAR(CleanedSalesData[[#This Row],[OrderDate]])</f>
        <v>2025</v>
      </c>
      <c r="O294">
        <f>MONTH(CleanedSalesData[[#This Row],[OrderDate]])</f>
        <v>5</v>
      </c>
      <c r="P294" t="str">
        <f>TEXT(CleanedSalesData[[#This Row],[OrderDate]], "yyyy-mm")</f>
        <v>2025-05</v>
      </c>
    </row>
    <row r="295" spans="1:16" x14ac:dyDescent="0.3">
      <c r="A295" s="3" t="s">
        <v>309</v>
      </c>
      <c r="B295" s="4">
        <v>45573</v>
      </c>
      <c r="C295" s="3" t="s">
        <v>517</v>
      </c>
      <c r="D295" s="3" t="s">
        <v>531</v>
      </c>
      <c r="E295" s="3" t="s">
        <v>551</v>
      </c>
      <c r="F295" s="3" t="s">
        <v>573</v>
      </c>
      <c r="G295" s="3" t="s">
        <v>581</v>
      </c>
      <c r="H295">
        <v>1</v>
      </c>
      <c r="I295" s="5">
        <v>20541.86</v>
      </c>
      <c r="J295">
        <v>0</v>
      </c>
      <c r="K295" s="5">
        <v>20541.86</v>
      </c>
      <c r="L295" s="5">
        <v>18713.63</v>
      </c>
      <c r="M295" s="5">
        <v>1828.23</v>
      </c>
      <c r="N295">
        <f>YEAR(CleanedSalesData[[#This Row],[OrderDate]])</f>
        <v>2024</v>
      </c>
      <c r="O295">
        <f>MONTH(CleanedSalesData[[#This Row],[OrderDate]])</f>
        <v>10</v>
      </c>
      <c r="P295" t="str">
        <f>TEXT(CleanedSalesData[[#This Row],[OrderDate]], "yyyy-mm")</f>
        <v>2024-10</v>
      </c>
    </row>
    <row r="296" spans="1:16" x14ac:dyDescent="0.3">
      <c r="A296" s="3" t="s">
        <v>310</v>
      </c>
      <c r="B296" s="4">
        <v>45401</v>
      </c>
      <c r="C296" s="3" t="s">
        <v>516</v>
      </c>
      <c r="D296" s="3" t="s">
        <v>527</v>
      </c>
      <c r="E296" s="3" t="s">
        <v>546</v>
      </c>
      <c r="F296" s="3" t="s">
        <v>571</v>
      </c>
      <c r="G296" s="3" t="s">
        <v>579</v>
      </c>
      <c r="H296">
        <v>1</v>
      </c>
      <c r="I296" s="5">
        <v>43537.11</v>
      </c>
      <c r="J296">
        <v>0</v>
      </c>
      <c r="K296" s="5">
        <v>43537.11</v>
      </c>
      <c r="L296" s="5">
        <v>39357.550000000003</v>
      </c>
      <c r="M296" s="5">
        <v>4179.5600000000004</v>
      </c>
      <c r="N296">
        <f>YEAR(CleanedSalesData[[#This Row],[OrderDate]])</f>
        <v>2024</v>
      </c>
      <c r="O296">
        <f>MONTH(CleanedSalesData[[#This Row],[OrderDate]])</f>
        <v>4</v>
      </c>
      <c r="P296" t="str">
        <f>TEXT(CleanedSalesData[[#This Row],[OrderDate]], "yyyy-mm")</f>
        <v>2024-04</v>
      </c>
    </row>
    <row r="297" spans="1:16" x14ac:dyDescent="0.3">
      <c r="A297" s="3" t="s">
        <v>311</v>
      </c>
      <c r="B297" s="4">
        <v>45565</v>
      </c>
      <c r="C297" s="3" t="s">
        <v>519</v>
      </c>
      <c r="D297" s="3" t="s">
        <v>526</v>
      </c>
      <c r="E297" s="3" t="s">
        <v>543</v>
      </c>
      <c r="F297" s="3" t="s">
        <v>572</v>
      </c>
      <c r="G297" s="3" t="s">
        <v>586</v>
      </c>
      <c r="H297">
        <v>1</v>
      </c>
      <c r="I297" s="5">
        <v>1151.75</v>
      </c>
      <c r="J297">
        <v>0</v>
      </c>
      <c r="K297" s="5">
        <v>1151.75</v>
      </c>
      <c r="L297" s="5">
        <v>873.03</v>
      </c>
      <c r="M297" s="5">
        <v>278.72000000000003</v>
      </c>
      <c r="N297">
        <f>YEAR(CleanedSalesData[[#This Row],[OrderDate]])</f>
        <v>2024</v>
      </c>
      <c r="O297">
        <f>MONTH(CleanedSalesData[[#This Row],[OrderDate]])</f>
        <v>9</v>
      </c>
      <c r="P297" t="str">
        <f>TEXT(CleanedSalesData[[#This Row],[OrderDate]], "yyyy-mm")</f>
        <v>2024-09</v>
      </c>
    </row>
    <row r="298" spans="1:16" x14ac:dyDescent="0.3">
      <c r="A298" s="3" t="s">
        <v>312</v>
      </c>
      <c r="B298" s="4">
        <v>45523</v>
      </c>
      <c r="C298" s="3" t="s">
        <v>520</v>
      </c>
      <c r="D298" s="3" t="s">
        <v>528</v>
      </c>
      <c r="E298" s="3" t="s">
        <v>547</v>
      </c>
      <c r="F298" s="3" t="s">
        <v>571</v>
      </c>
      <c r="G298" s="3" t="s">
        <v>576</v>
      </c>
      <c r="H298">
        <v>1</v>
      </c>
      <c r="I298" s="5">
        <v>32203.33</v>
      </c>
      <c r="J298">
        <v>0</v>
      </c>
      <c r="K298" s="5">
        <v>32203.33</v>
      </c>
      <c r="L298" s="5">
        <v>27244.02</v>
      </c>
      <c r="M298" s="5">
        <v>4959.3100000000004</v>
      </c>
      <c r="N298">
        <f>YEAR(CleanedSalesData[[#This Row],[OrderDate]])</f>
        <v>2024</v>
      </c>
      <c r="O298">
        <f>MONTH(CleanedSalesData[[#This Row],[OrderDate]])</f>
        <v>8</v>
      </c>
      <c r="P298" t="str">
        <f>TEXT(CleanedSalesData[[#This Row],[OrderDate]], "yyyy-mm")</f>
        <v>2024-08</v>
      </c>
    </row>
    <row r="299" spans="1:16" x14ac:dyDescent="0.3">
      <c r="A299" s="3" t="s">
        <v>313</v>
      </c>
      <c r="B299" s="4">
        <v>45349</v>
      </c>
      <c r="C299" s="3" t="s">
        <v>516</v>
      </c>
      <c r="D299" s="3" t="s">
        <v>527</v>
      </c>
      <c r="E299" s="3" t="s">
        <v>546</v>
      </c>
      <c r="F299" s="3" t="s">
        <v>572</v>
      </c>
      <c r="G299" s="3" t="s">
        <v>586</v>
      </c>
      <c r="H299">
        <v>3</v>
      </c>
      <c r="I299" s="5">
        <v>1307.57</v>
      </c>
      <c r="J299">
        <v>0</v>
      </c>
      <c r="K299" s="5">
        <v>3922.71</v>
      </c>
      <c r="L299" s="5">
        <v>3169.55</v>
      </c>
      <c r="M299" s="5">
        <v>753.16</v>
      </c>
      <c r="N299">
        <f>YEAR(CleanedSalesData[[#This Row],[OrderDate]])</f>
        <v>2024</v>
      </c>
      <c r="O299">
        <f>MONTH(CleanedSalesData[[#This Row],[OrderDate]])</f>
        <v>2</v>
      </c>
      <c r="P299" t="str">
        <f>TEXT(CleanedSalesData[[#This Row],[OrderDate]], "yyyy-mm")</f>
        <v>2024-02</v>
      </c>
    </row>
    <row r="300" spans="1:16" x14ac:dyDescent="0.3">
      <c r="A300" s="3" t="s">
        <v>314</v>
      </c>
      <c r="B300" s="4">
        <v>45389</v>
      </c>
      <c r="C300" s="3" t="s">
        <v>517</v>
      </c>
      <c r="D300" s="3" t="s">
        <v>536</v>
      </c>
      <c r="E300" s="3" t="s">
        <v>560</v>
      </c>
      <c r="F300" s="3" t="s">
        <v>571</v>
      </c>
      <c r="G300" s="3" t="s">
        <v>579</v>
      </c>
      <c r="H300">
        <v>2</v>
      </c>
      <c r="I300" s="5">
        <v>39613.519999999997</v>
      </c>
      <c r="J300">
        <v>0.05</v>
      </c>
      <c r="K300" s="5">
        <v>75265.69</v>
      </c>
      <c r="L300" s="5">
        <v>67588.59</v>
      </c>
      <c r="M300" s="5">
        <v>7677.1</v>
      </c>
      <c r="N300">
        <f>YEAR(CleanedSalesData[[#This Row],[OrderDate]])</f>
        <v>2024</v>
      </c>
      <c r="O300">
        <f>MONTH(CleanedSalesData[[#This Row],[OrderDate]])</f>
        <v>4</v>
      </c>
      <c r="P300" t="str">
        <f>TEXT(CleanedSalesData[[#This Row],[OrderDate]], "yyyy-mm")</f>
        <v>2024-04</v>
      </c>
    </row>
    <row r="301" spans="1:16" x14ac:dyDescent="0.3">
      <c r="A301" s="3" t="s">
        <v>315</v>
      </c>
      <c r="B301" s="4">
        <v>45579</v>
      </c>
      <c r="C301" s="3" t="s">
        <v>517</v>
      </c>
      <c r="D301" s="3" t="s">
        <v>536</v>
      </c>
      <c r="E301" s="3" t="s">
        <v>560</v>
      </c>
      <c r="F301" s="3" t="s">
        <v>572</v>
      </c>
      <c r="G301" s="3" t="s">
        <v>588</v>
      </c>
      <c r="H301">
        <v>1</v>
      </c>
      <c r="I301" s="5">
        <v>1924.86</v>
      </c>
      <c r="J301">
        <v>0</v>
      </c>
      <c r="K301" s="5">
        <v>1924.86</v>
      </c>
      <c r="L301" s="5">
        <v>1805.52</v>
      </c>
      <c r="M301" s="5">
        <v>119.34</v>
      </c>
      <c r="N301">
        <f>YEAR(CleanedSalesData[[#This Row],[OrderDate]])</f>
        <v>2024</v>
      </c>
      <c r="O301">
        <f>MONTH(CleanedSalesData[[#This Row],[OrderDate]])</f>
        <v>10</v>
      </c>
      <c r="P301" t="str">
        <f>TEXT(CleanedSalesData[[#This Row],[OrderDate]], "yyyy-mm")</f>
        <v>2024-10</v>
      </c>
    </row>
    <row r="302" spans="1:16" x14ac:dyDescent="0.3">
      <c r="A302" s="3" t="s">
        <v>316</v>
      </c>
      <c r="B302" s="4">
        <v>45699</v>
      </c>
      <c r="C302" s="3" t="s">
        <v>516</v>
      </c>
      <c r="D302" s="3" t="s">
        <v>521</v>
      </c>
      <c r="E302" s="3" t="s">
        <v>538</v>
      </c>
      <c r="F302" s="3" t="s">
        <v>573</v>
      </c>
      <c r="G302" s="3" t="s">
        <v>585</v>
      </c>
      <c r="H302">
        <v>1</v>
      </c>
      <c r="I302" s="5">
        <v>15034.01</v>
      </c>
      <c r="J302">
        <v>0</v>
      </c>
      <c r="K302" s="5">
        <v>15034.01</v>
      </c>
      <c r="L302" s="5">
        <v>13019.45</v>
      </c>
      <c r="M302" s="5">
        <v>2014.56</v>
      </c>
      <c r="N302">
        <f>YEAR(CleanedSalesData[[#This Row],[OrderDate]])</f>
        <v>2025</v>
      </c>
      <c r="O302">
        <f>MONTH(CleanedSalesData[[#This Row],[OrderDate]])</f>
        <v>2</v>
      </c>
      <c r="P302" t="str">
        <f>TEXT(CleanedSalesData[[#This Row],[OrderDate]], "yyyy-mm")</f>
        <v>2025-02</v>
      </c>
    </row>
    <row r="303" spans="1:16" x14ac:dyDescent="0.3">
      <c r="A303" s="3" t="s">
        <v>317</v>
      </c>
      <c r="B303" s="4">
        <v>45845</v>
      </c>
      <c r="C303" s="3" t="s">
        <v>520</v>
      </c>
      <c r="D303" s="3" t="s">
        <v>535</v>
      </c>
      <c r="E303" s="3" t="s">
        <v>565</v>
      </c>
      <c r="F303" s="3" t="s">
        <v>573</v>
      </c>
      <c r="G303" s="3" t="s">
        <v>582</v>
      </c>
      <c r="H303">
        <v>1</v>
      </c>
      <c r="I303" s="5">
        <v>13518.24</v>
      </c>
      <c r="J303">
        <v>0</v>
      </c>
      <c r="K303" s="5">
        <v>13518.24</v>
      </c>
      <c r="L303" s="5">
        <v>12477.34</v>
      </c>
      <c r="M303" s="5">
        <v>1040.9000000000001</v>
      </c>
      <c r="N303">
        <f>YEAR(CleanedSalesData[[#This Row],[OrderDate]])</f>
        <v>2025</v>
      </c>
      <c r="O303">
        <f>MONTH(CleanedSalesData[[#This Row],[OrderDate]])</f>
        <v>7</v>
      </c>
      <c r="P303" t="str">
        <f>TEXT(CleanedSalesData[[#This Row],[OrderDate]], "yyyy-mm")</f>
        <v>2025-07</v>
      </c>
    </row>
    <row r="304" spans="1:16" x14ac:dyDescent="0.3">
      <c r="A304" s="3" t="s">
        <v>318</v>
      </c>
      <c r="B304" s="4">
        <v>45346</v>
      </c>
      <c r="C304" s="3" t="s">
        <v>516</v>
      </c>
      <c r="D304" s="3" t="s">
        <v>522</v>
      </c>
      <c r="E304" s="3" t="s">
        <v>539</v>
      </c>
      <c r="F304" s="3" t="s">
        <v>571</v>
      </c>
      <c r="G304" s="3" t="s">
        <v>578</v>
      </c>
      <c r="H304">
        <v>1</v>
      </c>
      <c r="I304" s="5">
        <v>49597.99</v>
      </c>
      <c r="J304">
        <v>0</v>
      </c>
      <c r="K304" s="5">
        <v>49597.99</v>
      </c>
      <c r="L304" s="5">
        <v>40273.57</v>
      </c>
      <c r="M304" s="5">
        <v>9324.42</v>
      </c>
      <c r="N304">
        <f>YEAR(CleanedSalesData[[#This Row],[OrderDate]])</f>
        <v>2024</v>
      </c>
      <c r="O304">
        <f>MONTH(CleanedSalesData[[#This Row],[OrderDate]])</f>
        <v>2</v>
      </c>
      <c r="P304" t="str">
        <f>TEXT(CleanedSalesData[[#This Row],[OrderDate]], "yyyy-mm")</f>
        <v>2024-02</v>
      </c>
    </row>
    <row r="305" spans="1:16" x14ac:dyDescent="0.3">
      <c r="A305" s="3" t="s">
        <v>319</v>
      </c>
      <c r="B305" s="4">
        <v>45698</v>
      </c>
      <c r="C305" s="3" t="s">
        <v>520</v>
      </c>
      <c r="D305" s="3" t="s">
        <v>528</v>
      </c>
      <c r="E305" s="3" t="s">
        <v>552</v>
      </c>
      <c r="F305" s="3" t="s">
        <v>572</v>
      </c>
      <c r="G305" s="3" t="s">
        <v>586</v>
      </c>
      <c r="H305">
        <v>1</v>
      </c>
      <c r="I305" s="5">
        <v>494.87</v>
      </c>
      <c r="J305">
        <v>0</v>
      </c>
      <c r="K305" s="5">
        <v>494.87</v>
      </c>
      <c r="L305" s="5">
        <v>416.19</v>
      </c>
      <c r="M305" s="5">
        <v>78.680000000000007</v>
      </c>
      <c r="N305">
        <f>YEAR(CleanedSalesData[[#This Row],[OrderDate]])</f>
        <v>2025</v>
      </c>
      <c r="O305">
        <f>MONTH(CleanedSalesData[[#This Row],[OrderDate]])</f>
        <v>2</v>
      </c>
      <c r="P305" t="str">
        <f>TEXT(CleanedSalesData[[#This Row],[OrderDate]], "yyyy-mm")</f>
        <v>2025-02</v>
      </c>
    </row>
    <row r="306" spans="1:16" x14ac:dyDescent="0.3">
      <c r="A306" s="3" t="s">
        <v>320</v>
      </c>
      <c r="B306" s="4">
        <v>45676</v>
      </c>
      <c r="C306" s="3" t="s">
        <v>519</v>
      </c>
      <c r="D306" s="3" t="s">
        <v>533</v>
      </c>
      <c r="E306" s="3" t="s">
        <v>555</v>
      </c>
      <c r="F306" s="3" t="s">
        <v>571</v>
      </c>
      <c r="G306" s="3" t="s">
        <v>579</v>
      </c>
      <c r="H306">
        <v>1</v>
      </c>
      <c r="I306" s="5">
        <v>25744.22</v>
      </c>
      <c r="J306">
        <v>0</v>
      </c>
      <c r="K306" s="5">
        <v>25744.22</v>
      </c>
      <c r="L306" s="5">
        <v>19127.96</v>
      </c>
      <c r="M306" s="5">
        <v>6616.26</v>
      </c>
      <c r="N306">
        <f>YEAR(CleanedSalesData[[#This Row],[OrderDate]])</f>
        <v>2025</v>
      </c>
      <c r="O306">
        <f>MONTH(CleanedSalesData[[#This Row],[OrderDate]])</f>
        <v>1</v>
      </c>
      <c r="P306" t="str">
        <f>TEXT(CleanedSalesData[[#This Row],[OrderDate]], "yyyy-mm")</f>
        <v>2025-01</v>
      </c>
    </row>
    <row r="307" spans="1:16" x14ac:dyDescent="0.3">
      <c r="A307" s="3" t="s">
        <v>321</v>
      </c>
      <c r="B307" s="4">
        <v>45367</v>
      </c>
      <c r="C307" s="3" t="s">
        <v>516</v>
      </c>
      <c r="D307" s="3" t="s">
        <v>521</v>
      </c>
      <c r="E307" s="3" t="s">
        <v>538</v>
      </c>
      <c r="F307" s="3" t="s">
        <v>572</v>
      </c>
      <c r="G307" s="3" t="s">
        <v>583</v>
      </c>
      <c r="H307">
        <v>1</v>
      </c>
      <c r="I307" s="5">
        <v>1492.33</v>
      </c>
      <c r="J307">
        <v>0</v>
      </c>
      <c r="K307" s="5">
        <v>1492.33</v>
      </c>
      <c r="L307" s="5">
        <v>1059.55</v>
      </c>
      <c r="M307" s="5">
        <v>432.78</v>
      </c>
      <c r="N307">
        <f>YEAR(CleanedSalesData[[#This Row],[OrderDate]])</f>
        <v>2024</v>
      </c>
      <c r="O307">
        <f>MONTH(CleanedSalesData[[#This Row],[OrderDate]])</f>
        <v>3</v>
      </c>
      <c r="P307" t="str">
        <f>TEXT(CleanedSalesData[[#This Row],[OrderDate]], "yyyy-mm")</f>
        <v>2024-03</v>
      </c>
    </row>
    <row r="308" spans="1:16" x14ac:dyDescent="0.3">
      <c r="A308" s="3" t="s">
        <v>322</v>
      </c>
      <c r="B308" s="4">
        <v>45401</v>
      </c>
      <c r="C308" s="3" t="s">
        <v>516</v>
      </c>
      <c r="D308" s="3" t="s">
        <v>525</v>
      </c>
      <c r="E308" s="3" t="s">
        <v>542</v>
      </c>
      <c r="F308" s="3" t="s">
        <v>572</v>
      </c>
      <c r="G308" s="3" t="s">
        <v>577</v>
      </c>
      <c r="H308">
        <v>1</v>
      </c>
      <c r="I308" s="5">
        <v>1534.63</v>
      </c>
      <c r="J308">
        <v>0.05</v>
      </c>
      <c r="K308" s="5">
        <v>1457.9</v>
      </c>
      <c r="L308" s="5">
        <v>1348.56</v>
      </c>
      <c r="M308" s="5">
        <v>109.34</v>
      </c>
      <c r="N308">
        <f>YEAR(CleanedSalesData[[#This Row],[OrderDate]])</f>
        <v>2024</v>
      </c>
      <c r="O308">
        <f>MONTH(CleanedSalesData[[#This Row],[OrderDate]])</f>
        <v>4</v>
      </c>
      <c r="P308" t="str">
        <f>TEXT(CleanedSalesData[[#This Row],[OrderDate]], "yyyy-mm")</f>
        <v>2024-04</v>
      </c>
    </row>
    <row r="309" spans="1:16" x14ac:dyDescent="0.3">
      <c r="A309" s="3" t="s">
        <v>323</v>
      </c>
      <c r="B309" s="4">
        <v>45483</v>
      </c>
      <c r="C309" s="3" t="s">
        <v>519</v>
      </c>
      <c r="D309" s="3" t="s">
        <v>534</v>
      </c>
      <c r="E309" s="3" t="s">
        <v>556</v>
      </c>
      <c r="F309" s="3" t="s">
        <v>571</v>
      </c>
      <c r="G309" s="3" t="s">
        <v>575</v>
      </c>
      <c r="H309">
        <v>3</v>
      </c>
      <c r="I309" s="5">
        <v>9900.65</v>
      </c>
      <c r="J309">
        <v>0</v>
      </c>
      <c r="K309" s="5">
        <v>29701.95</v>
      </c>
      <c r="L309" s="5">
        <v>20019.11</v>
      </c>
      <c r="M309" s="5">
        <v>9682.84</v>
      </c>
      <c r="N309">
        <f>YEAR(CleanedSalesData[[#This Row],[OrderDate]])</f>
        <v>2024</v>
      </c>
      <c r="O309">
        <f>MONTH(CleanedSalesData[[#This Row],[OrderDate]])</f>
        <v>7</v>
      </c>
      <c r="P309" t="str">
        <f>TEXT(CleanedSalesData[[#This Row],[OrderDate]], "yyyy-mm")</f>
        <v>2024-07</v>
      </c>
    </row>
    <row r="310" spans="1:16" x14ac:dyDescent="0.3">
      <c r="A310" s="3" t="s">
        <v>324</v>
      </c>
      <c r="B310" s="4">
        <v>45624</v>
      </c>
      <c r="C310" s="3" t="s">
        <v>519</v>
      </c>
      <c r="D310" s="3" t="s">
        <v>526</v>
      </c>
      <c r="E310" s="3" t="s">
        <v>543</v>
      </c>
      <c r="F310" s="3" t="s">
        <v>572</v>
      </c>
      <c r="G310" s="3" t="s">
        <v>586</v>
      </c>
      <c r="H310">
        <v>1</v>
      </c>
      <c r="I310" s="5">
        <v>1569.38</v>
      </c>
      <c r="J310">
        <v>0</v>
      </c>
      <c r="K310" s="5">
        <v>1569.38</v>
      </c>
      <c r="L310" s="5">
        <v>1360.65</v>
      </c>
      <c r="M310" s="5">
        <v>208.73</v>
      </c>
      <c r="N310">
        <f>YEAR(CleanedSalesData[[#This Row],[OrderDate]])</f>
        <v>2024</v>
      </c>
      <c r="O310">
        <f>MONTH(CleanedSalesData[[#This Row],[OrderDate]])</f>
        <v>11</v>
      </c>
      <c r="P310" t="str">
        <f>TEXT(CleanedSalesData[[#This Row],[OrderDate]], "yyyy-mm")</f>
        <v>2024-11</v>
      </c>
    </row>
    <row r="311" spans="1:16" x14ac:dyDescent="0.3">
      <c r="A311" s="3" t="s">
        <v>325</v>
      </c>
      <c r="B311" s="4">
        <v>45864</v>
      </c>
      <c r="C311" s="3" t="s">
        <v>518</v>
      </c>
      <c r="D311" s="3" t="s">
        <v>524</v>
      </c>
      <c r="E311" s="3" t="s">
        <v>550</v>
      </c>
      <c r="F311" s="3" t="s">
        <v>573</v>
      </c>
      <c r="G311" s="3" t="s">
        <v>581</v>
      </c>
      <c r="H311">
        <v>2</v>
      </c>
      <c r="I311" s="5">
        <v>5898.54</v>
      </c>
      <c r="J311">
        <v>0</v>
      </c>
      <c r="K311" s="5">
        <v>11797.08</v>
      </c>
      <c r="L311" s="5">
        <v>8564.68</v>
      </c>
      <c r="M311" s="5">
        <v>3232.4</v>
      </c>
      <c r="N311">
        <f>YEAR(CleanedSalesData[[#This Row],[OrderDate]])</f>
        <v>2025</v>
      </c>
      <c r="O311">
        <f>MONTH(CleanedSalesData[[#This Row],[OrderDate]])</f>
        <v>7</v>
      </c>
      <c r="P311" t="str">
        <f>TEXT(CleanedSalesData[[#This Row],[OrderDate]], "yyyy-mm")</f>
        <v>2025-07</v>
      </c>
    </row>
    <row r="312" spans="1:16" x14ac:dyDescent="0.3">
      <c r="A312" s="3" t="s">
        <v>326</v>
      </c>
      <c r="B312" s="4">
        <v>45566</v>
      </c>
      <c r="C312" s="3" t="s">
        <v>519</v>
      </c>
      <c r="D312" s="3" t="s">
        <v>533</v>
      </c>
      <c r="E312" s="3" t="s">
        <v>570</v>
      </c>
      <c r="F312" s="3" t="s">
        <v>571</v>
      </c>
      <c r="G312" s="3" t="s">
        <v>576</v>
      </c>
      <c r="H312">
        <v>1</v>
      </c>
      <c r="I312" s="5">
        <v>24249.06</v>
      </c>
      <c r="J312">
        <v>0</v>
      </c>
      <c r="K312" s="5">
        <v>24249.06</v>
      </c>
      <c r="L312" s="5">
        <v>21508.92</v>
      </c>
      <c r="M312" s="5">
        <v>2740.14</v>
      </c>
      <c r="N312">
        <f>YEAR(CleanedSalesData[[#This Row],[OrderDate]])</f>
        <v>2024</v>
      </c>
      <c r="O312">
        <f>MONTH(CleanedSalesData[[#This Row],[OrderDate]])</f>
        <v>10</v>
      </c>
      <c r="P312" t="str">
        <f>TEXT(CleanedSalesData[[#This Row],[OrderDate]], "yyyy-mm")</f>
        <v>2024-10</v>
      </c>
    </row>
    <row r="313" spans="1:16" x14ac:dyDescent="0.3">
      <c r="A313" s="3" t="s">
        <v>327</v>
      </c>
      <c r="B313" s="4">
        <v>45370</v>
      </c>
      <c r="C313" s="3" t="s">
        <v>520</v>
      </c>
      <c r="D313" s="3" t="s">
        <v>535</v>
      </c>
      <c r="E313" s="3" t="s">
        <v>565</v>
      </c>
      <c r="F313" s="3" t="s">
        <v>573</v>
      </c>
      <c r="G313" s="3" t="s">
        <v>581</v>
      </c>
      <c r="H313">
        <v>1</v>
      </c>
      <c r="I313" s="5">
        <v>15657.55</v>
      </c>
      <c r="J313">
        <v>0.05</v>
      </c>
      <c r="K313" s="5">
        <v>14874.67</v>
      </c>
      <c r="L313" s="5">
        <v>11974.11</v>
      </c>
      <c r="M313" s="5">
        <v>2900.56</v>
      </c>
      <c r="N313">
        <f>YEAR(CleanedSalesData[[#This Row],[OrderDate]])</f>
        <v>2024</v>
      </c>
      <c r="O313">
        <f>MONTH(CleanedSalesData[[#This Row],[OrderDate]])</f>
        <v>3</v>
      </c>
      <c r="P313" t="str">
        <f>TEXT(CleanedSalesData[[#This Row],[OrderDate]], "yyyy-mm")</f>
        <v>2024-03</v>
      </c>
    </row>
    <row r="314" spans="1:16" x14ac:dyDescent="0.3">
      <c r="A314" s="3" t="s">
        <v>328</v>
      </c>
      <c r="B314" s="4">
        <v>45430</v>
      </c>
      <c r="C314" s="3" t="s">
        <v>520</v>
      </c>
      <c r="D314" s="3" t="s">
        <v>528</v>
      </c>
      <c r="E314" s="3" t="s">
        <v>552</v>
      </c>
      <c r="F314" s="3" t="s">
        <v>572</v>
      </c>
      <c r="G314" s="3" t="s">
        <v>587</v>
      </c>
      <c r="H314">
        <v>1</v>
      </c>
      <c r="I314" s="5">
        <v>790.79</v>
      </c>
      <c r="J314">
        <v>0</v>
      </c>
      <c r="K314" s="5">
        <v>790.79</v>
      </c>
      <c r="L314" s="5">
        <v>663.47</v>
      </c>
      <c r="M314" s="5">
        <v>127.32</v>
      </c>
      <c r="N314">
        <f>YEAR(CleanedSalesData[[#This Row],[OrderDate]])</f>
        <v>2024</v>
      </c>
      <c r="O314">
        <f>MONTH(CleanedSalesData[[#This Row],[OrderDate]])</f>
        <v>5</v>
      </c>
      <c r="P314" t="str">
        <f>TEXT(CleanedSalesData[[#This Row],[OrderDate]], "yyyy-mm")</f>
        <v>2024-05</v>
      </c>
    </row>
    <row r="315" spans="1:16" x14ac:dyDescent="0.3">
      <c r="A315" s="3" t="s">
        <v>329</v>
      </c>
      <c r="B315" s="4">
        <v>45742</v>
      </c>
      <c r="C315" s="3" t="s">
        <v>520</v>
      </c>
      <c r="D315" s="3" t="s">
        <v>535</v>
      </c>
      <c r="E315" s="3" t="s">
        <v>565</v>
      </c>
      <c r="F315" s="3" t="s">
        <v>572</v>
      </c>
      <c r="G315" s="3" t="s">
        <v>577</v>
      </c>
      <c r="H315">
        <v>1</v>
      </c>
      <c r="I315" s="5">
        <v>1226.26</v>
      </c>
      <c r="J315">
        <v>0</v>
      </c>
      <c r="K315" s="5">
        <v>1226.26</v>
      </c>
      <c r="L315" s="5">
        <v>890.26</v>
      </c>
      <c r="M315" s="5">
        <v>336</v>
      </c>
      <c r="N315">
        <f>YEAR(CleanedSalesData[[#This Row],[OrderDate]])</f>
        <v>2025</v>
      </c>
      <c r="O315">
        <f>MONTH(CleanedSalesData[[#This Row],[OrderDate]])</f>
        <v>3</v>
      </c>
      <c r="P315" t="str">
        <f>TEXT(CleanedSalesData[[#This Row],[OrderDate]], "yyyy-mm")</f>
        <v>2025-03</v>
      </c>
    </row>
    <row r="316" spans="1:16" x14ac:dyDescent="0.3">
      <c r="A316" s="3" t="s">
        <v>330</v>
      </c>
      <c r="B316" s="4">
        <v>45782</v>
      </c>
      <c r="C316" s="3" t="s">
        <v>520</v>
      </c>
      <c r="D316" s="3" t="s">
        <v>528</v>
      </c>
      <c r="E316" s="3" t="s">
        <v>552</v>
      </c>
      <c r="F316" s="3" t="s">
        <v>572</v>
      </c>
      <c r="G316" s="3" t="s">
        <v>577</v>
      </c>
      <c r="H316">
        <v>1</v>
      </c>
      <c r="I316" s="5">
        <v>1483.01</v>
      </c>
      <c r="J316">
        <v>0</v>
      </c>
      <c r="K316" s="5">
        <v>1483.01</v>
      </c>
      <c r="L316" s="5">
        <v>1296.1500000000001</v>
      </c>
      <c r="M316" s="5">
        <v>186.86</v>
      </c>
      <c r="N316">
        <f>YEAR(CleanedSalesData[[#This Row],[OrderDate]])</f>
        <v>2025</v>
      </c>
      <c r="O316">
        <f>MONTH(CleanedSalesData[[#This Row],[OrderDate]])</f>
        <v>5</v>
      </c>
      <c r="P316" t="str">
        <f>TEXT(CleanedSalesData[[#This Row],[OrderDate]], "yyyy-mm")</f>
        <v>2025-05</v>
      </c>
    </row>
    <row r="317" spans="1:16" x14ac:dyDescent="0.3">
      <c r="A317" s="3" t="s">
        <v>331</v>
      </c>
      <c r="B317" s="4">
        <v>45881</v>
      </c>
      <c r="C317" s="3" t="s">
        <v>518</v>
      </c>
      <c r="D317" s="3" t="s">
        <v>529</v>
      </c>
      <c r="E317" s="3" t="s">
        <v>553</v>
      </c>
      <c r="F317" s="3" t="s">
        <v>572</v>
      </c>
      <c r="G317" s="3" t="s">
        <v>586</v>
      </c>
      <c r="H317">
        <v>2</v>
      </c>
      <c r="I317" s="5">
        <v>761.78</v>
      </c>
      <c r="J317">
        <v>0</v>
      </c>
      <c r="K317" s="5">
        <v>1523.56</v>
      </c>
      <c r="L317" s="5">
        <v>1037.54</v>
      </c>
      <c r="M317" s="5">
        <v>486.02</v>
      </c>
      <c r="N317">
        <f>YEAR(CleanedSalesData[[#This Row],[OrderDate]])</f>
        <v>2025</v>
      </c>
      <c r="O317">
        <f>MONTH(CleanedSalesData[[#This Row],[OrderDate]])</f>
        <v>8</v>
      </c>
      <c r="P317" t="str">
        <f>TEXT(CleanedSalesData[[#This Row],[OrderDate]], "yyyy-mm")</f>
        <v>2025-08</v>
      </c>
    </row>
    <row r="318" spans="1:16" x14ac:dyDescent="0.3">
      <c r="A318" s="3" t="s">
        <v>332</v>
      </c>
      <c r="B318" s="4">
        <v>45496</v>
      </c>
      <c r="C318" s="3" t="s">
        <v>517</v>
      </c>
      <c r="D318" s="3" t="s">
        <v>523</v>
      </c>
      <c r="E318" s="3" t="s">
        <v>544</v>
      </c>
      <c r="F318" s="3" t="s">
        <v>573</v>
      </c>
      <c r="G318" s="3" t="s">
        <v>581</v>
      </c>
      <c r="H318">
        <v>1</v>
      </c>
      <c r="I318" s="5">
        <v>23688.42</v>
      </c>
      <c r="J318">
        <v>0</v>
      </c>
      <c r="K318" s="5">
        <v>23688.42</v>
      </c>
      <c r="L318" s="5">
        <v>18713.849999999999</v>
      </c>
      <c r="M318" s="5">
        <v>4974.57</v>
      </c>
      <c r="N318">
        <f>YEAR(CleanedSalesData[[#This Row],[OrderDate]])</f>
        <v>2024</v>
      </c>
      <c r="O318">
        <f>MONTH(CleanedSalesData[[#This Row],[OrderDate]])</f>
        <v>7</v>
      </c>
      <c r="P318" t="str">
        <f>TEXT(CleanedSalesData[[#This Row],[OrderDate]], "yyyy-mm")</f>
        <v>2024-07</v>
      </c>
    </row>
    <row r="319" spans="1:16" x14ac:dyDescent="0.3">
      <c r="A319" s="3" t="s">
        <v>333</v>
      </c>
      <c r="B319" s="4">
        <v>45590</v>
      </c>
      <c r="C319" s="3" t="s">
        <v>516</v>
      </c>
      <c r="D319" s="3" t="s">
        <v>522</v>
      </c>
      <c r="E319" s="3" t="s">
        <v>545</v>
      </c>
      <c r="F319" s="3" t="s">
        <v>571</v>
      </c>
      <c r="G319" s="3" t="s">
        <v>578</v>
      </c>
      <c r="H319">
        <v>1</v>
      </c>
      <c r="I319" s="5">
        <v>21635.63</v>
      </c>
      <c r="J319">
        <v>0</v>
      </c>
      <c r="K319" s="5">
        <v>21635.63</v>
      </c>
      <c r="L319" s="5">
        <v>17654.669999999998</v>
      </c>
      <c r="M319" s="5">
        <v>3980.96</v>
      </c>
      <c r="N319">
        <f>YEAR(CleanedSalesData[[#This Row],[OrderDate]])</f>
        <v>2024</v>
      </c>
      <c r="O319">
        <f>MONTH(CleanedSalesData[[#This Row],[OrderDate]])</f>
        <v>10</v>
      </c>
      <c r="P319" t="str">
        <f>TEXT(CleanedSalesData[[#This Row],[OrderDate]], "yyyy-mm")</f>
        <v>2024-10</v>
      </c>
    </row>
    <row r="320" spans="1:16" x14ac:dyDescent="0.3">
      <c r="A320" s="3" t="s">
        <v>334</v>
      </c>
      <c r="B320" s="4">
        <v>45725</v>
      </c>
      <c r="C320" s="3" t="s">
        <v>519</v>
      </c>
      <c r="D320" s="3" t="s">
        <v>526</v>
      </c>
      <c r="E320" s="3" t="s">
        <v>543</v>
      </c>
      <c r="F320" s="3" t="s">
        <v>573</v>
      </c>
      <c r="G320" s="3" t="s">
        <v>581</v>
      </c>
      <c r="H320">
        <v>1</v>
      </c>
      <c r="I320" s="5">
        <v>15391.61</v>
      </c>
      <c r="J320">
        <v>0</v>
      </c>
      <c r="K320" s="5">
        <v>15391.61</v>
      </c>
      <c r="L320" s="5">
        <v>13498.44</v>
      </c>
      <c r="M320" s="5">
        <v>1893.17</v>
      </c>
      <c r="N320">
        <f>YEAR(CleanedSalesData[[#This Row],[OrderDate]])</f>
        <v>2025</v>
      </c>
      <c r="O320">
        <f>MONTH(CleanedSalesData[[#This Row],[OrderDate]])</f>
        <v>3</v>
      </c>
      <c r="P320" t="str">
        <f>TEXT(CleanedSalesData[[#This Row],[OrderDate]], "yyyy-mm")</f>
        <v>2025-03</v>
      </c>
    </row>
    <row r="321" spans="1:16" x14ac:dyDescent="0.3">
      <c r="A321" s="3" t="s">
        <v>335</v>
      </c>
      <c r="B321" s="4">
        <v>45720</v>
      </c>
      <c r="C321" s="3" t="s">
        <v>517</v>
      </c>
      <c r="D321" s="3" t="s">
        <v>536</v>
      </c>
      <c r="E321" s="3" t="s">
        <v>560</v>
      </c>
      <c r="F321" s="3" t="s">
        <v>573</v>
      </c>
      <c r="G321" s="3" t="s">
        <v>584</v>
      </c>
      <c r="H321">
        <v>1</v>
      </c>
      <c r="I321" s="5">
        <v>15657.86</v>
      </c>
      <c r="J321">
        <v>0</v>
      </c>
      <c r="K321" s="5">
        <v>15657.86</v>
      </c>
      <c r="L321" s="5">
        <v>13105.63</v>
      </c>
      <c r="M321" s="5">
        <v>2552.23</v>
      </c>
      <c r="N321">
        <f>YEAR(CleanedSalesData[[#This Row],[OrderDate]])</f>
        <v>2025</v>
      </c>
      <c r="O321">
        <f>MONTH(CleanedSalesData[[#This Row],[OrderDate]])</f>
        <v>3</v>
      </c>
      <c r="P321" t="str">
        <f>TEXT(CleanedSalesData[[#This Row],[OrderDate]], "yyyy-mm")</f>
        <v>2025-03</v>
      </c>
    </row>
    <row r="322" spans="1:16" x14ac:dyDescent="0.3">
      <c r="A322" s="3" t="s">
        <v>336</v>
      </c>
      <c r="B322" s="4">
        <v>45403</v>
      </c>
      <c r="C322" s="3" t="s">
        <v>518</v>
      </c>
      <c r="D322" s="3" t="s">
        <v>524</v>
      </c>
      <c r="E322" s="3" t="s">
        <v>541</v>
      </c>
      <c r="F322" s="3" t="s">
        <v>571</v>
      </c>
      <c r="G322" s="3" t="s">
        <v>579</v>
      </c>
      <c r="H322">
        <v>1</v>
      </c>
      <c r="I322" s="5">
        <v>6410.85</v>
      </c>
      <c r="J322">
        <v>0</v>
      </c>
      <c r="K322" s="5">
        <v>6410.85</v>
      </c>
      <c r="L322" s="5">
        <v>5468.46</v>
      </c>
      <c r="M322" s="5">
        <v>942.39</v>
      </c>
      <c r="N322">
        <f>YEAR(CleanedSalesData[[#This Row],[OrderDate]])</f>
        <v>2024</v>
      </c>
      <c r="O322">
        <f>MONTH(CleanedSalesData[[#This Row],[OrderDate]])</f>
        <v>4</v>
      </c>
      <c r="P322" t="str">
        <f>TEXT(CleanedSalesData[[#This Row],[OrderDate]], "yyyy-mm")</f>
        <v>2024-04</v>
      </c>
    </row>
    <row r="323" spans="1:16" x14ac:dyDescent="0.3">
      <c r="A323" s="3" t="s">
        <v>337</v>
      </c>
      <c r="B323" s="4">
        <v>45701</v>
      </c>
      <c r="C323" s="3" t="s">
        <v>520</v>
      </c>
      <c r="D323" s="3" t="s">
        <v>535</v>
      </c>
      <c r="E323" s="3" t="s">
        <v>565</v>
      </c>
      <c r="F323" s="3" t="s">
        <v>571</v>
      </c>
      <c r="G323" s="3" t="s">
        <v>575</v>
      </c>
      <c r="H323">
        <v>1</v>
      </c>
      <c r="I323" s="5">
        <v>22922.85</v>
      </c>
      <c r="J323">
        <v>0</v>
      </c>
      <c r="K323" s="5">
        <v>22922.85</v>
      </c>
      <c r="L323" s="5">
        <v>19530.27</v>
      </c>
      <c r="M323" s="5">
        <v>3392.58</v>
      </c>
      <c r="N323">
        <f>YEAR(CleanedSalesData[[#This Row],[OrderDate]])</f>
        <v>2025</v>
      </c>
      <c r="O323">
        <f>MONTH(CleanedSalesData[[#This Row],[OrderDate]])</f>
        <v>2</v>
      </c>
      <c r="P323" t="str">
        <f>TEXT(CleanedSalesData[[#This Row],[OrderDate]], "yyyy-mm")</f>
        <v>2025-02</v>
      </c>
    </row>
    <row r="324" spans="1:16" x14ac:dyDescent="0.3">
      <c r="A324" s="3" t="s">
        <v>338</v>
      </c>
      <c r="B324" s="4">
        <v>45823</v>
      </c>
      <c r="C324" s="3" t="s">
        <v>517</v>
      </c>
      <c r="D324" s="3" t="s">
        <v>523</v>
      </c>
      <c r="E324" s="3" t="s">
        <v>540</v>
      </c>
      <c r="F324" s="3" t="s">
        <v>572</v>
      </c>
      <c r="G324" s="3" t="s">
        <v>586</v>
      </c>
      <c r="H324">
        <v>1</v>
      </c>
      <c r="I324" s="5">
        <v>952.97</v>
      </c>
      <c r="J324">
        <v>0</v>
      </c>
      <c r="K324" s="5">
        <v>952.97</v>
      </c>
      <c r="L324" s="5">
        <v>650.88</v>
      </c>
      <c r="M324" s="5">
        <v>302.08999999999997</v>
      </c>
      <c r="N324">
        <f>YEAR(CleanedSalesData[[#This Row],[OrderDate]])</f>
        <v>2025</v>
      </c>
      <c r="O324">
        <f>MONTH(CleanedSalesData[[#This Row],[OrderDate]])</f>
        <v>6</v>
      </c>
      <c r="P324" t="str">
        <f>TEXT(CleanedSalesData[[#This Row],[OrderDate]], "yyyy-mm")</f>
        <v>2025-06</v>
      </c>
    </row>
    <row r="325" spans="1:16" x14ac:dyDescent="0.3">
      <c r="A325" s="3" t="s">
        <v>339</v>
      </c>
      <c r="B325" s="4">
        <v>45804</v>
      </c>
      <c r="C325" s="3" t="s">
        <v>518</v>
      </c>
      <c r="D325" s="3" t="s">
        <v>529</v>
      </c>
      <c r="E325" s="3" t="s">
        <v>548</v>
      </c>
      <c r="F325" s="3" t="s">
        <v>572</v>
      </c>
      <c r="G325" s="3" t="s">
        <v>588</v>
      </c>
      <c r="H325">
        <v>1</v>
      </c>
      <c r="I325" s="5">
        <v>626.09</v>
      </c>
      <c r="J325">
        <v>0</v>
      </c>
      <c r="K325" s="5">
        <v>626.09</v>
      </c>
      <c r="L325" s="5">
        <v>467.06</v>
      </c>
      <c r="M325" s="5">
        <v>159.03</v>
      </c>
      <c r="N325">
        <f>YEAR(CleanedSalesData[[#This Row],[OrderDate]])</f>
        <v>2025</v>
      </c>
      <c r="O325">
        <f>MONTH(CleanedSalesData[[#This Row],[OrderDate]])</f>
        <v>5</v>
      </c>
      <c r="P325" t="str">
        <f>TEXT(CleanedSalesData[[#This Row],[OrderDate]], "yyyy-mm")</f>
        <v>2025-05</v>
      </c>
    </row>
    <row r="326" spans="1:16" x14ac:dyDescent="0.3">
      <c r="A326" s="3" t="s">
        <v>340</v>
      </c>
      <c r="B326" s="4">
        <v>45379</v>
      </c>
      <c r="C326" s="3" t="s">
        <v>516</v>
      </c>
      <c r="D326" s="3" t="s">
        <v>527</v>
      </c>
      <c r="E326" s="3" t="s">
        <v>558</v>
      </c>
      <c r="F326" s="3" t="s">
        <v>572</v>
      </c>
      <c r="G326" s="3" t="s">
        <v>577</v>
      </c>
      <c r="H326">
        <v>2</v>
      </c>
      <c r="I326" s="5">
        <v>937.9</v>
      </c>
      <c r="J326">
        <v>0</v>
      </c>
      <c r="K326" s="5">
        <v>1875.8</v>
      </c>
      <c r="L326" s="5">
        <v>1500.64</v>
      </c>
      <c r="M326" s="5">
        <v>375.16</v>
      </c>
      <c r="N326">
        <f>YEAR(CleanedSalesData[[#This Row],[OrderDate]])</f>
        <v>2024</v>
      </c>
      <c r="O326">
        <f>MONTH(CleanedSalesData[[#This Row],[OrderDate]])</f>
        <v>3</v>
      </c>
      <c r="P326" t="str">
        <f>TEXT(CleanedSalesData[[#This Row],[OrderDate]], "yyyy-mm")</f>
        <v>2024-03</v>
      </c>
    </row>
    <row r="327" spans="1:16" x14ac:dyDescent="0.3">
      <c r="A327" s="3" t="s">
        <v>341</v>
      </c>
      <c r="B327" s="4">
        <v>45786</v>
      </c>
      <c r="C327" s="3" t="s">
        <v>520</v>
      </c>
      <c r="D327" s="3" t="s">
        <v>535</v>
      </c>
      <c r="E327" s="3" t="s">
        <v>565</v>
      </c>
      <c r="F327" s="3" t="s">
        <v>572</v>
      </c>
      <c r="G327" s="3" t="s">
        <v>586</v>
      </c>
      <c r="H327">
        <v>1</v>
      </c>
      <c r="I327" s="5">
        <v>671.87</v>
      </c>
      <c r="J327">
        <v>0</v>
      </c>
      <c r="K327" s="5">
        <v>671.87</v>
      </c>
      <c r="L327" s="5">
        <v>530.11</v>
      </c>
      <c r="M327" s="5">
        <v>141.76</v>
      </c>
      <c r="N327">
        <f>YEAR(CleanedSalesData[[#This Row],[OrderDate]])</f>
        <v>2025</v>
      </c>
      <c r="O327">
        <f>MONTH(CleanedSalesData[[#This Row],[OrderDate]])</f>
        <v>5</v>
      </c>
      <c r="P327" t="str">
        <f>TEXT(CleanedSalesData[[#This Row],[OrderDate]], "yyyy-mm")</f>
        <v>2025-05</v>
      </c>
    </row>
    <row r="328" spans="1:16" x14ac:dyDescent="0.3">
      <c r="A328" s="3" t="s">
        <v>342</v>
      </c>
      <c r="B328" s="4">
        <v>45409</v>
      </c>
      <c r="C328" s="3" t="s">
        <v>516</v>
      </c>
      <c r="D328" s="3" t="s">
        <v>521</v>
      </c>
      <c r="E328" s="3" t="s">
        <v>538</v>
      </c>
      <c r="F328" s="3" t="s">
        <v>573</v>
      </c>
      <c r="G328" s="3" t="s">
        <v>585</v>
      </c>
      <c r="H328">
        <v>1</v>
      </c>
      <c r="I328" s="5">
        <v>23388.22</v>
      </c>
      <c r="J328">
        <v>0</v>
      </c>
      <c r="K328" s="5">
        <v>23388.22</v>
      </c>
      <c r="L328" s="5">
        <v>16979.849999999999</v>
      </c>
      <c r="M328" s="5">
        <v>6408.37</v>
      </c>
      <c r="N328">
        <f>YEAR(CleanedSalesData[[#This Row],[OrderDate]])</f>
        <v>2024</v>
      </c>
      <c r="O328">
        <f>MONTH(CleanedSalesData[[#This Row],[OrderDate]])</f>
        <v>4</v>
      </c>
      <c r="P328" t="str">
        <f>TEXT(CleanedSalesData[[#This Row],[OrderDate]], "yyyy-mm")</f>
        <v>2024-04</v>
      </c>
    </row>
    <row r="329" spans="1:16" x14ac:dyDescent="0.3">
      <c r="A329" s="3" t="s">
        <v>343</v>
      </c>
      <c r="B329" s="4">
        <v>45820</v>
      </c>
      <c r="C329" s="3" t="s">
        <v>518</v>
      </c>
      <c r="D329" s="3" t="s">
        <v>524</v>
      </c>
      <c r="E329" s="3" t="s">
        <v>550</v>
      </c>
      <c r="F329" s="3" t="s">
        <v>572</v>
      </c>
      <c r="G329" s="3" t="s">
        <v>587</v>
      </c>
      <c r="H329">
        <v>1</v>
      </c>
      <c r="I329" s="5">
        <v>881.42</v>
      </c>
      <c r="J329">
        <v>0</v>
      </c>
      <c r="K329" s="5">
        <v>881.42</v>
      </c>
      <c r="L329" s="5">
        <v>803.86</v>
      </c>
      <c r="M329" s="5">
        <v>77.56</v>
      </c>
      <c r="N329">
        <f>YEAR(CleanedSalesData[[#This Row],[OrderDate]])</f>
        <v>2025</v>
      </c>
      <c r="O329">
        <f>MONTH(CleanedSalesData[[#This Row],[OrderDate]])</f>
        <v>6</v>
      </c>
      <c r="P329" t="str">
        <f>TEXT(CleanedSalesData[[#This Row],[OrderDate]], "yyyy-mm")</f>
        <v>2025-06</v>
      </c>
    </row>
    <row r="330" spans="1:16" x14ac:dyDescent="0.3">
      <c r="A330" s="3" t="s">
        <v>344</v>
      </c>
      <c r="B330" s="4">
        <v>45706</v>
      </c>
      <c r="C330" s="3" t="s">
        <v>518</v>
      </c>
      <c r="D330" s="3" t="s">
        <v>537</v>
      </c>
      <c r="E330" s="3" t="s">
        <v>569</v>
      </c>
      <c r="F330" s="3" t="s">
        <v>572</v>
      </c>
      <c r="G330" s="3" t="s">
        <v>588</v>
      </c>
      <c r="H330">
        <v>1</v>
      </c>
      <c r="I330" s="5">
        <v>1487.91</v>
      </c>
      <c r="J330">
        <v>0</v>
      </c>
      <c r="K330" s="5">
        <v>1487.91</v>
      </c>
      <c r="L330" s="5">
        <v>1251.33</v>
      </c>
      <c r="M330" s="5">
        <v>236.58</v>
      </c>
      <c r="N330">
        <f>YEAR(CleanedSalesData[[#This Row],[OrderDate]])</f>
        <v>2025</v>
      </c>
      <c r="O330">
        <f>MONTH(CleanedSalesData[[#This Row],[OrderDate]])</f>
        <v>2</v>
      </c>
      <c r="P330" t="str">
        <f>TEXT(CleanedSalesData[[#This Row],[OrderDate]], "yyyy-mm")</f>
        <v>2025-02</v>
      </c>
    </row>
    <row r="331" spans="1:16" x14ac:dyDescent="0.3">
      <c r="A331" s="3" t="s">
        <v>345</v>
      </c>
      <c r="B331" s="4">
        <v>45752</v>
      </c>
      <c r="C331" s="3" t="s">
        <v>517</v>
      </c>
      <c r="D331" s="3" t="s">
        <v>530</v>
      </c>
      <c r="E331" s="3" t="s">
        <v>549</v>
      </c>
      <c r="F331" s="3" t="s">
        <v>571</v>
      </c>
      <c r="G331" s="3" t="s">
        <v>574</v>
      </c>
      <c r="H331">
        <v>1</v>
      </c>
      <c r="I331" s="5">
        <v>18845.400000000001</v>
      </c>
      <c r="J331">
        <v>0</v>
      </c>
      <c r="K331" s="5">
        <v>18845.400000000001</v>
      </c>
      <c r="L331" s="5">
        <v>14680.57</v>
      </c>
      <c r="M331" s="5">
        <v>4164.83</v>
      </c>
      <c r="N331">
        <f>YEAR(CleanedSalesData[[#This Row],[OrderDate]])</f>
        <v>2025</v>
      </c>
      <c r="O331">
        <f>MONTH(CleanedSalesData[[#This Row],[OrderDate]])</f>
        <v>4</v>
      </c>
      <c r="P331" t="str">
        <f>TEXT(CleanedSalesData[[#This Row],[OrderDate]], "yyyy-mm")</f>
        <v>2025-04</v>
      </c>
    </row>
    <row r="332" spans="1:16" x14ac:dyDescent="0.3">
      <c r="A332" s="3" t="s">
        <v>346</v>
      </c>
      <c r="B332" s="4">
        <v>45356</v>
      </c>
      <c r="C332" s="3" t="s">
        <v>517</v>
      </c>
      <c r="D332" s="3" t="s">
        <v>536</v>
      </c>
      <c r="E332" s="3" t="s">
        <v>560</v>
      </c>
      <c r="F332" s="3" t="s">
        <v>572</v>
      </c>
      <c r="G332" s="3" t="s">
        <v>577</v>
      </c>
      <c r="H332">
        <v>1</v>
      </c>
      <c r="I332" s="5">
        <v>434.29</v>
      </c>
      <c r="J332">
        <v>0.15</v>
      </c>
      <c r="K332" s="5">
        <v>369.15</v>
      </c>
      <c r="L332" s="5">
        <v>241.42</v>
      </c>
      <c r="M332" s="5">
        <v>127.73</v>
      </c>
      <c r="N332">
        <f>YEAR(CleanedSalesData[[#This Row],[OrderDate]])</f>
        <v>2024</v>
      </c>
      <c r="O332">
        <f>MONTH(CleanedSalesData[[#This Row],[OrderDate]])</f>
        <v>3</v>
      </c>
      <c r="P332" t="str">
        <f>TEXT(CleanedSalesData[[#This Row],[OrderDate]], "yyyy-mm")</f>
        <v>2024-03</v>
      </c>
    </row>
    <row r="333" spans="1:16" x14ac:dyDescent="0.3">
      <c r="A333" s="3" t="s">
        <v>347</v>
      </c>
      <c r="B333" s="4">
        <v>45793</v>
      </c>
      <c r="C333" s="3" t="s">
        <v>517</v>
      </c>
      <c r="D333" s="3" t="s">
        <v>531</v>
      </c>
      <c r="E333" s="3" t="s">
        <v>563</v>
      </c>
      <c r="F333" s="3" t="s">
        <v>573</v>
      </c>
      <c r="G333" s="3" t="s">
        <v>581</v>
      </c>
      <c r="H333">
        <v>1</v>
      </c>
      <c r="I333" s="5">
        <v>15501.11</v>
      </c>
      <c r="J333">
        <v>0</v>
      </c>
      <c r="K333" s="5">
        <v>15501.11</v>
      </c>
      <c r="L333" s="5">
        <v>13625.48</v>
      </c>
      <c r="M333" s="5">
        <v>1875.63</v>
      </c>
      <c r="N333">
        <f>YEAR(CleanedSalesData[[#This Row],[OrderDate]])</f>
        <v>2025</v>
      </c>
      <c r="O333">
        <f>MONTH(CleanedSalesData[[#This Row],[OrderDate]])</f>
        <v>5</v>
      </c>
      <c r="P333" t="str">
        <f>TEXT(CleanedSalesData[[#This Row],[OrderDate]], "yyyy-mm")</f>
        <v>2025-05</v>
      </c>
    </row>
    <row r="334" spans="1:16" x14ac:dyDescent="0.3">
      <c r="A334" s="3" t="s">
        <v>348</v>
      </c>
      <c r="B334" s="4">
        <v>45760</v>
      </c>
      <c r="C334" s="3" t="s">
        <v>517</v>
      </c>
      <c r="D334" s="3" t="s">
        <v>523</v>
      </c>
      <c r="E334" s="3" t="s">
        <v>540</v>
      </c>
      <c r="F334" s="3" t="s">
        <v>573</v>
      </c>
      <c r="G334" s="3" t="s">
        <v>584</v>
      </c>
      <c r="H334">
        <v>1</v>
      </c>
      <c r="I334" s="5">
        <v>3949.3</v>
      </c>
      <c r="J334">
        <v>0.05</v>
      </c>
      <c r="K334" s="5">
        <v>3751.84</v>
      </c>
      <c r="L334" s="5">
        <v>3391.66</v>
      </c>
      <c r="M334" s="5">
        <v>360.18</v>
      </c>
      <c r="N334">
        <f>YEAR(CleanedSalesData[[#This Row],[OrderDate]])</f>
        <v>2025</v>
      </c>
      <c r="O334">
        <f>MONTH(CleanedSalesData[[#This Row],[OrderDate]])</f>
        <v>4</v>
      </c>
      <c r="P334" t="str">
        <f>TEXT(CleanedSalesData[[#This Row],[OrderDate]], "yyyy-mm")</f>
        <v>2025-04</v>
      </c>
    </row>
    <row r="335" spans="1:16" x14ac:dyDescent="0.3">
      <c r="A335" s="3" t="s">
        <v>349</v>
      </c>
      <c r="B335" s="4">
        <v>45536</v>
      </c>
      <c r="C335" s="3" t="s">
        <v>520</v>
      </c>
      <c r="D335" s="3" t="s">
        <v>528</v>
      </c>
      <c r="E335" s="3" t="s">
        <v>547</v>
      </c>
      <c r="F335" s="3" t="s">
        <v>572</v>
      </c>
      <c r="G335" s="3" t="s">
        <v>583</v>
      </c>
      <c r="H335">
        <v>1</v>
      </c>
      <c r="I335" s="5">
        <v>1046.1099999999999</v>
      </c>
      <c r="J335">
        <v>0</v>
      </c>
      <c r="K335" s="5">
        <v>1046.1099999999999</v>
      </c>
      <c r="L335" s="5">
        <v>943.59</v>
      </c>
      <c r="M335" s="5">
        <v>102.52</v>
      </c>
      <c r="N335">
        <f>YEAR(CleanedSalesData[[#This Row],[OrderDate]])</f>
        <v>2024</v>
      </c>
      <c r="O335">
        <f>MONTH(CleanedSalesData[[#This Row],[OrderDate]])</f>
        <v>9</v>
      </c>
      <c r="P335" t="str">
        <f>TEXT(CleanedSalesData[[#This Row],[OrderDate]], "yyyy-mm")</f>
        <v>2024-09</v>
      </c>
    </row>
    <row r="336" spans="1:16" x14ac:dyDescent="0.3">
      <c r="A336" s="3" t="s">
        <v>350</v>
      </c>
      <c r="B336" s="4">
        <v>45433</v>
      </c>
      <c r="C336" s="3" t="s">
        <v>517</v>
      </c>
      <c r="D336" s="3" t="s">
        <v>530</v>
      </c>
      <c r="E336" s="3" t="s">
        <v>549</v>
      </c>
      <c r="F336" s="3" t="s">
        <v>571</v>
      </c>
      <c r="G336" s="3" t="s">
        <v>576</v>
      </c>
      <c r="H336">
        <v>1</v>
      </c>
      <c r="I336" s="5">
        <v>51933.63</v>
      </c>
      <c r="J336">
        <v>0</v>
      </c>
      <c r="K336" s="5">
        <v>51933.63</v>
      </c>
      <c r="L336" s="5">
        <v>44870.66</v>
      </c>
      <c r="M336" s="5">
        <v>7062.97</v>
      </c>
      <c r="N336">
        <f>YEAR(CleanedSalesData[[#This Row],[OrderDate]])</f>
        <v>2024</v>
      </c>
      <c r="O336">
        <f>MONTH(CleanedSalesData[[#This Row],[OrderDate]])</f>
        <v>5</v>
      </c>
      <c r="P336" t="str">
        <f>TEXT(CleanedSalesData[[#This Row],[OrderDate]], "yyyy-mm")</f>
        <v>2024-05</v>
      </c>
    </row>
    <row r="337" spans="1:16" x14ac:dyDescent="0.3">
      <c r="A337" s="3" t="s">
        <v>351</v>
      </c>
      <c r="B337" s="4">
        <v>45469</v>
      </c>
      <c r="C337" s="3" t="s">
        <v>517</v>
      </c>
      <c r="D337" s="3" t="s">
        <v>523</v>
      </c>
      <c r="E337" s="3" t="s">
        <v>540</v>
      </c>
      <c r="F337" s="3" t="s">
        <v>572</v>
      </c>
      <c r="G337" s="3" t="s">
        <v>583</v>
      </c>
      <c r="H337">
        <v>1</v>
      </c>
      <c r="I337" s="5">
        <v>414.84</v>
      </c>
      <c r="J337">
        <v>0</v>
      </c>
      <c r="K337" s="5">
        <v>414.84</v>
      </c>
      <c r="L337" s="5">
        <v>282.51</v>
      </c>
      <c r="M337" s="5">
        <v>132.33000000000001</v>
      </c>
      <c r="N337">
        <f>YEAR(CleanedSalesData[[#This Row],[OrderDate]])</f>
        <v>2024</v>
      </c>
      <c r="O337">
        <f>MONTH(CleanedSalesData[[#This Row],[OrderDate]])</f>
        <v>6</v>
      </c>
      <c r="P337" t="str">
        <f>TEXT(CleanedSalesData[[#This Row],[OrderDate]], "yyyy-mm")</f>
        <v>2024-06</v>
      </c>
    </row>
    <row r="338" spans="1:16" x14ac:dyDescent="0.3">
      <c r="A338" s="3" t="s">
        <v>352</v>
      </c>
      <c r="B338" s="4">
        <v>45346</v>
      </c>
      <c r="C338" s="3" t="s">
        <v>520</v>
      </c>
      <c r="D338" s="3" t="s">
        <v>528</v>
      </c>
      <c r="E338" s="3" t="s">
        <v>552</v>
      </c>
      <c r="F338" s="3" t="s">
        <v>571</v>
      </c>
      <c r="G338" s="3" t="s">
        <v>574</v>
      </c>
      <c r="H338">
        <v>1</v>
      </c>
      <c r="I338" s="5">
        <v>65771.63</v>
      </c>
      <c r="J338">
        <v>0</v>
      </c>
      <c r="K338" s="5">
        <v>65771.63</v>
      </c>
      <c r="L338" s="5">
        <v>52156.9</v>
      </c>
      <c r="M338" s="5">
        <v>13614.73</v>
      </c>
      <c r="N338">
        <f>YEAR(CleanedSalesData[[#This Row],[OrderDate]])</f>
        <v>2024</v>
      </c>
      <c r="O338">
        <f>MONTH(CleanedSalesData[[#This Row],[OrderDate]])</f>
        <v>2</v>
      </c>
      <c r="P338" t="str">
        <f>TEXT(CleanedSalesData[[#This Row],[OrderDate]], "yyyy-mm")</f>
        <v>2024-02</v>
      </c>
    </row>
    <row r="339" spans="1:16" x14ac:dyDescent="0.3">
      <c r="A339" s="3" t="s">
        <v>353</v>
      </c>
      <c r="B339" s="4">
        <v>45809</v>
      </c>
      <c r="C339" s="3" t="s">
        <v>519</v>
      </c>
      <c r="D339" s="3" t="s">
        <v>534</v>
      </c>
      <c r="E339" s="3" t="s">
        <v>556</v>
      </c>
      <c r="F339" s="3" t="s">
        <v>572</v>
      </c>
      <c r="G339" s="3" t="s">
        <v>586</v>
      </c>
      <c r="H339">
        <v>1</v>
      </c>
      <c r="I339" s="5">
        <v>1002.96</v>
      </c>
      <c r="J339">
        <v>0.05</v>
      </c>
      <c r="K339" s="5">
        <v>952.81</v>
      </c>
      <c r="L339" s="5">
        <v>624.09</v>
      </c>
      <c r="M339" s="5">
        <v>328.72</v>
      </c>
      <c r="N339">
        <f>YEAR(CleanedSalesData[[#This Row],[OrderDate]])</f>
        <v>2025</v>
      </c>
      <c r="O339">
        <f>MONTH(CleanedSalesData[[#This Row],[OrderDate]])</f>
        <v>6</v>
      </c>
      <c r="P339" t="str">
        <f>TEXT(CleanedSalesData[[#This Row],[OrderDate]], "yyyy-mm")</f>
        <v>2025-06</v>
      </c>
    </row>
    <row r="340" spans="1:16" x14ac:dyDescent="0.3">
      <c r="A340" s="3" t="s">
        <v>354</v>
      </c>
      <c r="B340" s="4">
        <v>45517</v>
      </c>
      <c r="C340" s="3" t="s">
        <v>520</v>
      </c>
      <c r="D340" s="3" t="s">
        <v>528</v>
      </c>
      <c r="E340" s="3" t="s">
        <v>552</v>
      </c>
      <c r="F340" s="3" t="s">
        <v>571</v>
      </c>
      <c r="G340" s="3" t="s">
        <v>579</v>
      </c>
      <c r="H340">
        <v>1</v>
      </c>
      <c r="I340" s="5">
        <v>25227.61</v>
      </c>
      <c r="J340">
        <v>0</v>
      </c>
      <c r="K340" s="5">
        <v>25227.61</v>
      </c>
      <c r="L340" s="5">
        <v>20964.14</v>
      </c>
      <c r="M340" s="5">
        <v>4263.47</v>
      </c>
      <c r="N340">
        <f>YEAR(CleanedSalesData[[#This Row],[OrderDate]])</f>
        <v>2024</v>
      </c>
      <c r="O340">
        <f>MONTH(CleanedSalesData[[#This Row],[OrderDate]])</f>
        <v>8</v>
      </c>
      <c r="P340" t="str">
        <f>TEXT(CleanedSalesData[[#This Row],[OrderDate]], "yyyy-mm")</f>
        <v>2024-08</v>
      </c>
    </row>
    <row r="341" spans="1:16" x14ac:dyDescent="0.3">
      <c r="A341" s="3" t="s">
        <v>355</v>
      </c>
      <c r="B341" s="4">
        <v>45871</v>
      </c>
      <c r="C341" s="3" t="s">
        <v>519</v>
      </c>
      <c r="D341" s="3" t="s">
        <v>526</v>
      </c>
      <c r="E341" s="3" t="s">
        <v>562</v>
      </c>
      <c r="F341" s="3" t="s">
        <v>572</v>
      </c>
      <c r="G341" s="3" t="s">
        <v>587</v>
      </c>
      <c r="H341">
        <v>4</v>
      </c>
      <c r="I341" s="5">
        <v>1655.4</v>
      </c>
      <c r="J341">
        <v>0</v>
      </c>
      <c r="K341" s="5">
        <v>6621.6</v>
      </c>
      <c r="L341" s="5">
        <v>4568.8999999999996</v>
      </c>
      <c r="M341" s="5">
        <v>2052.6999999999998</v>
      </c>
      <c r="N341">
        <f>YEAR(CleanedSalesData[[#This Row],[OrderDate]])</f>
        <v>2025</v>
      </c>
      <c r="O341">
        <f>MONTH(CleanedSalesData[[#This Row],[OrderDate]])</f>
        <v>8</v>
      </c>
      <c r="P341" t="str">
        <f>TEXT(CleanedSalesData[[#This Row],[OrderDate]], "yyyy-mm")</f>
        <v>2025-08</v>
      </c>
    </row>
    <row r="342" spans="1:16" x14ac:dyDescent="0.3">
      <c r="A342" s="3" t="s">
        <v>356</v>
      </c>
      <c r="B342" s="4">
        <v>45334</v>
      </c>
      <c r="C342" s="3" t="s">
        <v>519</v>
      </c>
      <c r="D342" s="3" t="s">
        <v>533</v>
      </c>
      <c r="E342" s="3" t="s">
        <v>555</v>
      </c>
      <c r="F342" s="3" t="s">
        <v>571</v>
      </c>
      <c r="G342" s="3" t="s">
        <v>574</v>
      </c>
      <c r="H342">
        <v>2</v>
      </c>
      <c r="I342" s="5">
        <v>25923.59</v>
      </c>
      <c r="J342">
        <v>0</v>
      </c>
      <c r="K342" s="5">
        <v>51847.18</v>
      </c>
      <c r="L342" s="5">
        <v>45262.59</v>
      </c>
      <c r="M342" s="5">
        <v>6584.59</v>
      </c>
      <c r="N342">
        <f>YEAR(CleanedSalesData[[#This Row],[OrderDate]])</f>
        <v>2024</v>
      </c>
      <c r="O342">
        <f>MONTH(CleanedSalesData[[#This Row],[OrderDate]])</f>
        <v>2</v>
      </c>
      <c r="P342" t="str">
        <f>TEXT(CleanedSalesData[[#This Row],[OrderDate]], "yyyy-mm")</f>
        <v>2024-02</v>
      </c>
    </row>
    <row r="343" spans="1:16" x14ac:dyDescent="0.3">
      <c r="A343" s="3" t="s">
        <v>357</v>
      </c>
      <c r="B343" s="4">
        <v>45752</v>
      </c>
      <c r="C343" s="3" t="s">
        <v>520</v>
      </c>
      <c r="D343" s="3" t="s">
        <v>535</v>
      </c>
      <c r="E343" s="3" t="s">
        <v>565</v>
      </c>
      <c r="F343" s="3" t="s">
        <v>572</v>
      </c>
      <c r="G343" s="3" t="s">
        <v>588</v>
      </c>
      <c r="H343">
        <v>1</v>
      </c>
      <c r="I343" s="5">
        <v>1562.48</v>
      </c>
      <c r="J343">
        <v>0</v>
      </c>
      <c r="K343" s="5">
        <v>1562.48</v>
      </c>
      <c r="L343" s="5">
        <v>1170.3</v>
      </c>
      <c r="M343" s="5">
        <v>392.18</v>
      </c>
      <c r="N343">
        <f>YEAR(CleanedSalesData[[#This Row],[OrderDate]])</f>
        <v>2025</v>
      </c>
      <c r="O343">
        <f>MONTH(CleanedSalesData[[#This Row],[OrderDate]])</f>
        <v>4</v>
      </c>
      <c r="P343" t="str">
        <f>TEXT(CleanedSalesData[[#This Row],[OrderDate]], "yyyy-mm")</f>
        <v>2025-04</v>
      </c>
    </row>
    <row r="344" spans="1:16" x14ac:dyDescent="0.3">
      <c r="A344" s="3" t="s">
        <v>358</v>
      </c>
      <c r="B344" s="4">
        <v>45894</v>
      </c>
      <c r="C344" s="3" t="s">
        <v>520</v>
      </c>
      <c r="D344" s="3" t="s">
        <v>535</v>
      </c>
      <c r="E344" s="3" t="s">
        <v>565</v>
      </c>
      <c r="F344" s="3" t="s">
        <v>573</v>
      </c>
      <c r="G344" s="3" t="s">
        <v>585</v>
      </c>
      <c r="H344">
        <v>3</v>
      </c>
      <c r="I344" s="5">
        <v>20051.53</v>
      </c>
      <c r="J344">
        <v>0</v>
      </c>
      <c r="K344" s="5">
        <v>60154.59</v>
      </c>
      <c r="L344" s="5">
        <v>47101.04</v>
      </c>
      <c r="M344" s="5">
        <v>13053.55</v>
      </c>
      <c r="N344">
        <f>YEAR(CleanedSalesData[[#This Row],[OrderDate]])</f>
        <v>2025</v>
      </c>
      <c r="O344">
        <f>MONTH(CleanedSalesData[[#This Row],[OrderDate]])</f>
        <v>8</v>
      </c>
      <c r="P344" t="str">
        <f>TEXT(CleanedSalesData[[#This Row],[OrderDate]], "yyyy-mm")</f>
        <v>2025-08</v>
      </c>
    </row>
    <row r="345" spans="1:16" x14ac:dyDescent="0.3">
      <c r="A345" s="3" t="s">
        <v>359</v>
      </c>
      <c r="B345" s="4">
        <v>45352</v>
      </c>
      <c r="C345" s="3" t="s">
        <v>517</v>
      </c>
      <c r="D345" s="3" t="s">
        <v>531</v>
      </c>
      <c r="E345" s="3" t="s">
        <v>563</v>
      </c>
      <c r="F345" s="3" t="s">
        <v>573</v>
      </c>
      <c r="G345" s="3" t="s">
        <v>584</v>
      </c>
      <c r="H345">
        <v>1</v>
      </c>
      <c r="I345" s="5">
        <v>5872.68</v>
      </c>
      <c r="J345">
        <v>0</v>
      </c>
      <c r="K345" s="5">
        <v>5872.68</v>
      </c>
      <c r="L345" s="5">
        <v>5085.74</v>
      </c>
      <c r="M345" s="5">
        <v>786.94</v>
      </c>
      <c r="N345">
        <f>YEAR(CleanedSalesData[[#This Row],[OrderDate]])</f>
        <v>2024</v>
      </c>
      <c r="O345">
        <f>MONTH(CleanedSalesData[[#This Row],[OrderDate]])</f>
        <v>3</v>
      </c>
      <c r="P345" t="str">
        <f>TEXT(CleanedSalesData[[#This Row],[OrderDate]], "yyyy-mm")</f>
        <v>2024-03</v>
      </c>
    </row>
    <row r="346" spans="1:16" x14ac:dyDescent="0.3">
      <c r="A346" s="3" t="s">
        <v>360</v>
      </c>
      <c r="B346" s="4">
        <v>45591</v>
      </c>
      <c r="C346" s="3" t="s">
        <v>520</v>
      </c>
      <c r="D346" s="3" t="s">
        <v>535</v>
      </c>
      <c r="E346" s="3" t="s">
        <v>565</v>
      </c>
      <c r="F346" s="3" t="s">
        <v>571</v>
      </c>
      <c r="G346" s="3" t="s">
        <v>576</v>
      </c>
      <c r="H346">
        <v>2</v>
      </c>
      <c r="I346" s="5">
        <v>73745.19</v>
      </c>
      <c r="J346">
        <v>0</v>
      </c>
      <c r="K346" s="5">
        <v>147490.38</v>
      </c>
      <c r="L346" s="5">
        <v>131856.4</v>
      </c>
      <c r="M346" s="5">
        <v>15633.98</v>
      </c>
      <c r="N346">
        <f>YEAR(CleanedSalesData[[#This Row],[OrderDate]])</f>
        <v>2024</v>
      </c>
      <c r="O346">
        <f>MONTH(CleanedSalesData[[#This Row],[OrderDate]])</f>
        <v>10</v>
      </c>
      <c r="P346" t="str">
        <f>TEXT(CleanedSalesData[[#This Row],[OrderDate]], "yyyy-mm")</f>
        <v>2024-10</v>
      </c>
    </row>
    <row r="347" spans="1:16" x14ac:dyDescent="0.3">
      <c r="A347" s="3" t="s">
        <v>361</v>
      </c>
      <c r="B347" s="4">
        <v>45421</v>
      </c>
      <c r="C347" s="3" t="s">
        <v>518</v>
      </c>
      <c r="D347" s="3" t="s">
        <v>537</v>
      </c>
      <c r="E347" s="3" t="s">
        <v>561</v>
      </c>
      <c r="F347" s="3" t="s">
        <v>573</v>
      </c>
      <c r="G347" s="3" t="s">
        <v>580</v>
      </c>
      <c r="H347">
        <v>1</v>
      </c>
      <c r="I347" s="5">
        <v>21055.08</v>
      </c>
      <c r="J347">
        <v>0</v>
      </c>
      <c r="K347" s="5">
        <v>21055.08</v>
      </c>
      <c r="L347" s="5">
        <v>17307.28</v>
      </c>
      <c r="M347" s="5">
        <v>3747.8</v>
      </c>
      <c r="N347">
        <f>YEAR(CleanedSalesData[[#This Row],[OrderDate]])</f>
        <v>2024</v>
      </c>
      <c r="O347">
        <f>MONTH(CleanedSalesData[[#This Row],[OrderDate]])</f>
        <v>5</v>
      </c>
      <c r="P347" t="str">
        <f>TEXT(CleanedSalesData[[#This Row],[OrderDate]], "yyyy-mm")</f>
        <v>2024-05</v>
      </c>
    </row>
    <row r="348" spans="1:16" x14ac:dyDescent="0.3">
      <c r="A348" s="3" t="s">
        <v>362</v>
      </c>
      <c r="B348" s="4">
        <v>45694</v>
      </c>
      <c r="C348" s="3" t="s">
        <v>519</v>
      </c>
      <c r="D348" s="3" t="s">
        <v>533</v>
      </c>
      <c r="E348" s="3" t="s">
        <v>555</v>
      </c>
      <c r="F348" s="3" t="s">
        <v>573</v>
      </c>
      <c r="G348" s="3" t="s">
        <v>581</v>
      </c>
      <c r="H348">
        <v>1</v>
      </c>
      <c r="I348" s="5">
        <v>10628.96</v>
      </c>
      <c r="J348">
        <v>0.05</v>
      </c>
      <c r="K348" s="5">
        <v>10097.51</v>
      </c>
      <c r="L348" s="5">
        <v>8855.52</v>
      </c>
      <c r="M348" s="5">
        <v>1241.99</v>
      </c>
      <c r="N348">
        <f>YEAR(CleanedSalesData[[#This Row],[OrderDate]])</f>
        <v>2025</v>
      </c>
      <c r="O348">
        <f>MONTH(CleanedSalesData[[#This Row],[OrderDate]])</f>
        <v>2</v>
      </c>
      <c r="P348" t="str">
        <f>TEXT(CleanedSalesData[[#This Row],[OrderDate]], "yyyy-mm")</f>
        <v>2025-02</v>
      </c>
    </row>
    <row r="349" spans="1:16" x14ac:dyDescent="0.3">
      <c r="A349" s="3" t="s">
        <v>363</v>
      </c>
      <c r="B349" s="4">
        <v>45704</v>
      </c>
      <c r="C349" s="3" t="s">
        <v>517</v>
      </c>
      <c r="D349" s="3" t="s">
        <v>531</v>
      </c>
      <c r="E349" s="3" t="s">
        <v>563</v>
      </c>
      <c r="F349" s="3" t="s">
        <v>572</v>
      </c>
      <c r="G349" s="3" t="s">
        <v>586</v>
      </c>
      <c r="H349">
        <v>1</v>
      </c>
      <c r="I349" s="5">
        <v>688.21</v>
      </c>
      <c r="J349">
        <v>0.15</v>
      </c>
      <c r="K349" s="5">
        <v>584.98</v>
      </c>
      <c r="L349" s="5">
        <v>448.68</v>
      </c>
      <c r="M349" s="5">
        <v>136.30000000000001</v>
      </c>
      <c r="N349">
        <f>YEAR(CleanedSalesData[[#This Row],[OrderDate]])</f>
        <v>2025</v>
      </c>
      <c r="O349">
        <f>MONTH(CleanedSalesData[[#This Row],[OrderDate]])</f>
        <v>2</v>
      </c>
      <c r="P349" t="str">
        <f>TEXT(CleanedSalesData[[#This Row],[OrderDate]], "yyyy-mm")</f>
        <v>2025-02</v>
      </c>
    </row>
    <row r="350" spans="1:16" x14ac:dyDescent="0.3">
      <c r="A350" s="3" t="s">
        <v>364</v>
      </c>
      <c r="B350" s="4">
        <v>45387</v>
      </c>
      <c r="C350" s="3" t="s">
        <v>519</v>
      </c>
      <c r="D350" s="3" t="s">
        <v>532</v>
      </c>
      <c r="E350" s="3" t="s">
        <v>564</v>
      </c>
      <c r="F350" s="3" t="s">
        <v>573</v>
      </c>
      <c r="G350" s="3" t="s">
        <v>581</v>
      </c>
      <c r="H350">
        <v>1</v>
      </c>
      <c r="I350" s="5">
        <v>7010.09</v>
      </c>
      <c r="J350">
        <v>0</v>
      </c>
      <c r="K350" s="5">
        <v>7010.09</v>
      </c>
      <c r="L350" s="5">
        <v>5439.83</v>
      </c>
      <c r="M350" s="5">
        <v>1570.26</v>
      </c>
      <c r="N350">
        <f>YEAR(CleanedSalesData[[#This Row],[OrderDate]])</f>
        <v>2024</v>
      </c>
      <c r="O350">
        <f>MONTH(CleanedSalesData[[#This Row],[OrderDate]])</f>
        <v>4</v>
      </c>
      <c r="P350" t="str">
        <f>TEXT(CleanedSalesData[[#This Row],[OrderDate]], "yyyy-mm")</f>
        <v>2024-04</v>
      </c>
    </row>
    <row r="351" spans="1:16" x14ac:dyDescent="0.3">
      <c r="A351" s="3" t="s">
        <v>365</v>
      </c>
      <c r="B351" s="4">
        <v>45508</v>
      </c>
      <c r="C351" s="3" t="s">
        <v>519</v>
      </c>
      <c r="D351" s="3" t="s">
        <v>532</v>
      </c>
      <c r="E351" s="3" t="s">
        <v>554</v>
      </c>
      <c r="F351" s="3" t="s">
        <v>572</v>
      </c>
      <c r="G351" s="3" t="s">
        <v>577</v>
      </c>
      <c r="H351">
        <v>1</v>
      </c>
      <c r="I351" s="5">
        <v>1117.26</v>
      </c>
      <c r="J351">
        <v>0.1</v>
      </c>
      <c r="K351" s="5">
        <v>1005.53</v>
      </c>
      <c r="L351" s="5">
        <v>810.46</v>
      </c>
      <c r="M351" s="5">
        <v>195.07</v>
      </c>
      <c r="N351">
        <f>YEAR(CleanedSalesData[[#This Row],[OrderDate]])</f>
        <v>2024</v>
      </c>
      <c r="O351">
        <f>MONTH(CleanedSalesData[[#This Row],[OrderDate]])</f>
        <v>8</v>
      </c>
      <c r="P351" t="str">
        <f>TEXT(CleanedSalesData[[#This Row],[OrderDate]], "yyyy-mm")</f>
        <v>2024-08</v>
      </c>
    </row>
    <row r="352" spans="1:16" x14ac:dyDescent="0.3">
      <c r="A352" s="3" t="s">
        <v>366</v>
      </c>
      <c r="B352" s="4">
        <v>45643</v>
      </c>
      <c r="C352" s="3" t="s">
        <v>516</v>
      </c>
      <c r="D352" s="3" t="s">
        <v>525</v>
      </c>
      <c r="E352" s="3" t="s">
        <v>557</v>
      </c>
      <c r="F352" s="3" t="s">
        <v>573</v>
      </c>
      <c r="G352" s="3" t="s">
        <v>581</v>
      </c>
      <c r="H352">
        <v>1</v>
      </c>
      <c r="I352" s="5">
        <v>2374.4699999999998</v>
      </c>
      <c r="J352">
        <v>0</v>
      </c>
      <c r="K352" s="5">
        <v>2374.4699999999998</v>
      </c>
      <c r="L352" s="5">
        <v>2217.75</v>
      </c>
      <c r="M352" s="5">
        <v>156.72</v>
      </c>
      <c r="N352">
        <f>YEAR(CleanedSalesData[[#This Row],[OrderDate]])</f>
        <v>2024</v>
      </c>
      <c r="O352">
        <f>MONTH(CleanedSalesData[[#This Row],[OrderDate]])</f>
        <v>12</v>
      </c>
      <c r="P352" t="str">
        <f>TEXT(CleanedSalesData[[#This Row],[OrderDate]], "yyyy-mm")</f>
        <v>2024-12</v>
      </c>
    </row>
    <row r="353" spans="1:16" x14ac:dyDescent="0.3">
      <c r="A353" s="3" t="s">
        <v>367</v>
      </c>
      <c r="B353" s="4">
        <v>45453</v>
      </c>
      <c r="C353" s="3" t="s">
        <v>519</v>
      </c>
      <c r="D353" s="3" t="s">
        <v>534</v>
      </c>
      <c r="E353" s="3" t="s">
        <v>566</v>
      </c>
      <c r="F353" s="3" t="s">
        <v>572</v>
      </c>
      <c r="G353" s="3" t="s">
        <v>583</v>
      </c>
      <c r="H353">
        <v>1</v>
      </c>
      <c r="I353" s="5">
        <v>1991.6</v>
      </c>
      <c r="J353">
        <v>0</v>
      </c>
      <c r="K353" s="5">
        <v>1991.6</v>
      </c>
      <c r="L353" s="5">
        <v>1812.36</v>
      </c>
      <c r="M353" s="5">
        <v>179.24</v>
      </c>
      <c r="N353">
        <f>YEAR(CleanedSalesData[[#This Row],[OrderDate]])</f>
        <v>2024</v>
      </c>
      <c r="O353">
        <f>MONTH(CleanedSalesData[[#This Row],[OrderDate]])</f>
        <v>6</v>
      </c>
      <c r="P353" t="str">
        <f>TEXT(CleanedSalesData[[#This Row],[OrderDate]], "yyyy-mm")</f>
        <v>2024-06</v>
      </c>
    </row>
    <row r="354" spans="1:16" x14ac:dyDescent="0.3">
      <c r="A354" s="3" t="s">
        <v>368</v>
      </c>
      <c r="B354" s="4">
        <v>45601</v>
      </c>
      <c r="C354" s="3" t="s">
        <v>518</v>
      </c>
      <c r="D354" s="3" t="s">
        <v>529</v>
      </c>
      <c r="E354" s="3" t="s">
        <v>548</v>
      </c>
      <c r="F354" s="3" t="s">
        <v>573</v>
      </c>
      <c r="G354" s="3" t="s">
        <v>580</v>
      </c>
      <c r="H354">
        <v>1</v>
      </c>
      <c r="I354" s="5">
        <v>7758.95</v>
      </c>
      <c r="J354">
        <v>0</v>
      </c>
      <c r="K354" s="5">
        <v>7758.95</v>
      </c>
      <c r="L354" s="5">
        <v>5066.59</v>
      </c>
      <c r="M354" s="5">
        <v>2692.36</v>
      </c>
      <c r="N354">
        <f>YEAR(CleanedSalesData[[#This Row],[OrderDate]])</f>
        <v>2024</v>
      </c>
      <c r="O354">
        <f>MONTH(CleanedSalesData[[#This Row],[OrderDate]])</f>
        <v>11</v>
      </c>
      <c r="P354" t="str">
        <f>TEXT(CleanedSalesData[[#This Row],[OrderDate]], "yyyy-mm")</f>
        <v>2024-11</v>
      </c>
    </row>
    <row r="355" spans="1:16" x14ac:dyDescent="0.3">
      <c r="A355" s="3" t="s">
        <v>369</v>
      </c>
      <c r="B355" s="4">
        <v>45461</v>
      </c>
      <c r="C355" s="3" t="s">
        <v>516</v>
      </c>
      <c r="D355" s="3" t="s">
        <v>522</v>
      </c>
      <c r="E355" s="3" t="s">
        <v>545</v>
      </c>
      <c r="F355" s="3" t="s">
        <v>573</v>
      </c>
      <c r="G355" s="3" t="s">
        <v>585</v>
      </c>
      <c r="H355">
        <v>1</v>
      </c>
      <c r="I355" s="5">
        <v>11872.31</v>
      </c>
      <c r="J355">
        <v>0.05</v>
      </c>
      <c r="K355" s="5">
        <v>11278.69</v>
      </c>
      <c r="L355" s="5">
        <v>7974.03</v>
      </c>
      <c r="M355" s="5">
        <v>3304.66</v>
      </c>
      <c r="N355">
        <f>YEAR(CleanedSalesData[[#This Row],[OrderDate]])</f>
        <v>2024</v>
      </c>
      <c r="O355">
        <f>MONTH(CleanedSalesData[[#This Row],[OrderDate]])</f>
        <v>6</v>
      </c>
      <c r="P355" t="str">
        <f>TEXT(CleanedSalesData[[#This Row],[OrderDate]], "yyyy-mm")</f>
        <v>2024-06</v>
      </c>
    </row>
    <row r="356" spans="1:16" x14ac:dyDescent="0.3">
      <c r="A356" s="3" t="s">
        <v>370</v>
      </c>
      <c r="B356" s="4">
        <v>45293</v>
      </c>
      <c r="C356" s="3" t="s">
        <v>518</v>
      </c>
      <c r="D356" s="3" t="s">
        <v>529</v>
      </c>
      <c r="E356" s="3" t="s">
        <v>548</v>
      </c>
      <c r="F356" s="3" t="s">
        <v>571</v>
      </c>
      <c r="G356" s="3" t="s">
        <v>579</v>
      </c>
      <c r="H356">
        <v>1</v>
      </c>
      <c r="I356" s="5">
        <v>20416.7</v>
      </c>
      <c r="J356">
        <v>0</v>
      </c>
      <c r="K356" s="5">
        <v>20416.7</v>
      </c>
      <c r="L356" s="5">
        <v>15230.86</v>
      </c>
      <c r="M356" s="5">
        <v>5185.84</v>
      </c>
      <c r="N356">
        <f>YEAR(CleanedSalesData[[#This Row],[OrderDate]])</f>
        <v>2024</v>
      </c>
      <c r="O356">
        <f>MONTH(CleanedSalesData[[#This Row],[OrderDate]])</f>
        <v>1</v>
      </c>
      <c r="P356" t="str">
        <f>TEXT(CleanedSalesData[[#This Row],[OrderDate]], "yyyy-mm")</f>
        <v>2024-01</v>
      </c>
    </row>
    <row r="357" spans="1:16" x14ac:dyDescent="0.3">
      <c r="A357" s="3" t="s">
        <v>371</v>
      </c>
      <c r="B357" s="4">
        <v>45301</v>
      </c>
      <c r="C357" s="3" t="s">
        <v>516</v>
      </c>
      <c r="D357" s="3" t="s">
        <v>521</v>
      </c>
      <c r="E357" s="3" t="s">
        <v>538</v>
      </c>
      <c r="F357" s="3" t="s">
        <v>572</v>
      </c>
      <c r="G357" s="3" t="s">
        <v>583</v>
      </c>
      <c r="H357">
        <v>2</v>
      </c>
      <c r="I357" s="5">
        <v>981.52</v>
      </c>
      <c r="J357">
        <v>0</v>
      </c>
      <c r="K357" s="5">
        <v>1963.04</v>
      </c>
      <c r="L357" s="5">
        <v>1513.5</v>
      </c>
      <c r="M357" s="5">
        <v>449.54</v>
      </c>
      <c r="N357">
        <f>YEAR(CleanedSalesData[[#This Row],[OrderDate]])</f>
        <v>2024</v>
      </c>
      <c r="O357">
        <f>MONTH(CleanedSalesData[[#This Row],[OrderDate]])</f>
        <v>1</v>
      </c>
      <c r="P357" t="str">
        <f>TEXT(CleanedSalesData[[#This Row],[OrderDate]], "yyyy-mm")</f>
        <v>2024-01</v>
      </c>
    </row>
    <row r="358" spans="1:16" x14ac:dyDescent="0.3">
      <c r="A358" s="3" t="s">
        <v>372</v>
      </c>
      <c r="B358" s="4">
        <v>45383</v>
      </c>
      <c r="C358" s="3" t="s">
        <v>516</v>
      </c>
      <c r="D358" s="3" t="s">
        <v>525</v>
      </c>
      <c r="E358" s="3" t="s">
        <v>542</v>
      </c>
      <c r="F358" s="3" t="s">
        <v>572</v>
      </c>
      <c r="G358" s="3" t="s">
        <v>577</v>
      </c>
      <c r="H358">
        <v>1</v>
      </c>
      <c r="I358" s="5">
        <v>317.39999999999998</v>
      </c>
      <c r="J358">
        <v>0</v>
      </c>
      <c r="K358" s="5">
        <v>317.39999999999998</v>
      </c>
      <c r="L358" s="5">
        <v>262.17</v>
      </c>
      <c r="M358" s="5">
        <v>55.23</v>
      </c>
      <c r="N358">
        <f>YEAR(CleanedSalesData[[#This Row],[OrderDate]])</f>
        <v>2024</v>
      </c>
      <c r="O358">
        <f>MONTH(CleanedSalesData[[#This Row],[OrderDate]])</f>
        <v>4</v>
      </c>
      <c r="P358" t="str">
        <f>TEXT(CleanedSalesData[[#This Row],[OrderDate]], "yyyy-mm")</f>
        <v>2024-04</v>
      </c>
    </row>
    <row r="359" spans="1:16" x14ac:dyDescent="0.3">
      <c r="A359" s="3" t="s">
        <v>373</v>
      </c>
      <c r="B359" s="4">
        <v>45428</v>
      </c>
      <c r="C359" s="3" t="s">
        <v>518</v>
      </c>
      <c r="D359" s="3" t="s">
        <v>537</v>
      </c>
      <c r="E359" s="3" t="s">
        <v>561</v>
      </c>
      <c r="F359" s="3" t="s">
        <v>573</v>
      </c>
      <c r="G359" s="3" t="s">
        <v>585</v>
      </c>
      <c r="H359">
        <v>1</v>
      </c>
      <c r="I359" s="5">
        <v>12122.29</v>
      </c>
      <c r="J359">
        <v>0</v>
      </c>
      <c r="K359" s="5">
        <v>12122.29</v>
      </c>
      <c r="L359" s="5">
        <v>8134.06</v>
      </c>
      <c r="M359" s="5">
        <v>3988.23</v>
      </c>
      <c r="N359">
        <f>YEAR(CleanedSalesData[[#This Row],[OrderDate]])</f>
        <v>2024</v>
      </c>
      <c r="O359">
        <f>MONTH(CleanedSalesData[[#This Row],[OrderDate]])</f>
        <v>5</v>
      </c>
      <c r="P359" t="str">
        <f>TEXT(CleanedSalesData[[#This Row],[OrderDate]], "yyyy-mm")</f>
        <v>2024-05</v>
      </c>
    </row>
    <row r="360" spans="1:16" x14ac:dyDescent="0.3">
      <c r="A360" s="3" t="s">
        <v>374</v>
      </c>
      <c r="B360" s="4">
        <v>45447</v>
      </c>
      <c r="C360" s="3" t="s">
        <v>519</v>
      </c>
      <c r="D360" s="3" t="s">
        <v>534</v>
      </c>
      <c r="E360" s="3" t="s">
        <v>566</v>
      </c>
      <c r="F360" s="3" t="s">
        <v>571</v>
      </c>
      <c r="G360" s="3" t="s">
        <v>575</v>
      </c>
      <c r="H360">
        <v>2</v>
      </c>
      <c r="I360" s="5">
        <v>13781.01</v>
      </c>
      <c r="J360">
        <v>0.15</v>
      </c>
      <c r="K360" s="5">
        <v>23427.72</v>
      </c>
      <c r="L360" s="5">
        <v>15462.3</v>
      </c>
      <c r="M360" s="5">
        <v>7965.42</v>
      </c>
      <c r="N360">
        <f>YEAR(CleanedSalesData[[#This Row],[OrderDate]])</f>
        <v>2024</v>
      </c>
      <c r="O360">
        <f>MONTH(CleanedSalesData[[#This Row],[OrderDate]])</f>
        <v>6</v>
      </c>
      <c r="P360" t="str">
        <f>TEXT(CleanedSalesData[[#This Row],[OrderDate]], "yyyy-mm")</f>
        <v>2024-06</v>
      </c>
    </row>
    <row r="361" spans="1:16" x14ac:dyDescent="0.3">
      <c r="A361" s="3" t="s">
        <v>375</v>
      </c>
      <c r="B361" s="4">
        <v>45685</v>
      </c>
      <c r="C361" s="3" t="s">
        <v>520</v>
      </c>
      <c r="D361" s="3" t="s">
        <v>535</v>
      </c>
      <c r="E361" s="3" t="s">
        <v>559</v>
      </c>
      <c r="F361" s="3" t="s">
        <v>571</v>
      </c>
      <c r="G361" s="3" t="s">
        <v>574</v>
      </c>
      <c r="H361">
        <v>1</v>
      </c>
      <c r="I361" s="5">
        <v>24326.51</v>
      </c>
      <c r="J361">
        <v>0.15</v>
      </c>
      <c r="K361" s="5">
        <v>20677.53</v>
      </c>
      <c r="L361" s="5">
        <v>15115.27</v>
      </c>
      <c r="M361" s="5">
        <v>5562.26</v>
      </c>
      <c r="N361">
        <f>YEAR(CleanedSalesData[[#This Row],[OrderDate]])</f>
        <v>2025</v>
      </c>
      <c r="O361">
        <f>MONTH(CleanedSalesData[[#This Row],[OrderDate]])</f>
        <v>1</v>
      </c>
      <c r="P361" t="str">
        <f>TEXT(CleanedSalesData[[#This Row],[OrderDate]], "yyyy-mm")</f>
        <v>2025-01</v>
      </c>
    </row>
    <row r="362" spans="1:16" x14ac:dyDescent="0.3">
      <c r="A362" s="3" t="s">
        <v>376</v>
      </c>
      <c r="B362" s="4">
        <v>45583</v>
      </c>
      <c r="C362" s="3" t="s">
        <v>516</v>
      </c>
      <c r="D362" s="3" t="s">
        <v>521</v>
      </c>
      <c r="E362" s="3" t="s">
        <v>538</v>
      </c>
      <c r="F362" s="3" t="s">
        <v>573</v>
      </c>
      <c r="G362" s="3" t="s">
        <v>584</v>
      </c>
      <c r="H362">
        <v>4</v>
      </c>
      <c r="I362" s="5">
        <v>13719.02</v>
      </c>
      <c r="J362">
        <v>0</v>
      </c>
      <c r="K362" s="5">
        <v>54876.08</v>
      </c>
      <c r="L362" s="5">
        <v>49168.97</v>
      </c>
      <c r="M362" s="5">
        <v>5707.11</v>
      </c>
      <c r="N362">
        <f>YEAR(CleanedSalesData[[#This Row],[OrderDate]])</f>
        <v>2024</v>
      </c>
      <c r="O362">
        <f>MONTH(CleanedSalesData[[#This Row],[OrderDate]])</f>
        <v>10</v>
      </c>
      <c r="P362" t="str">
        <f>TEXT(CleanedSalesData[[#This Row],[OrderDate]], "yyyy-mm")</f>
        <v>2024-10</v>
      </c>
    </row>
    <row r="363" spans="1:16" x14ac:dyDescent="0.3">
      <c r="A363" s="3" t="s">
        <v>377</v>
      </c>
      <c r="B363" s="4">
        <v>45594</v>
      </c>
      <c r="C363" s="3" t="s">
        <v>516</v>
      </c>
      <c r="D363" s="3" t="s">
        <v>527</v>
      </c>
      <c r="E363" s="3" t="s">
        <v>558</v>
      </c>
      <c r="F363" s="3" t="s">
        <v>572</v>
      </c>
      <c r="G363" s="3" t="s">
        <v>588</v>
      </c>
      <c r="H363">
        <v>1</v>
      </c>
      <c r="I363" s="5">
        <v>520.11</v>
      </c>
      <c r="J363">
        <v>0</v>
      </c>
      <c r="K363" s="5">
        <v>520.11</v>
      </c>
      <c r="L363" s="5">
        <v>378.64</v>
      </c>
      <c r="M363" s="5">
        <v>141.47</v>
      </c>
      <c r="N363">
        <f>YEAR(CleanedSalesData[[#This Row],[OrderDate]])</f>
        <v>2024</v>
      </c>
      <c r="O363">
        <f>MONTH(CleanedSalesData[[#This Row],[OrderDate]])</f>
        <v>10</v>
      </c>
      <c r="P363" t="str">
        <f>TEXT(CleanedSalesData[[#This Row],[OrderDate]], "yyyy-mm")</f>
        <v>2024-10</v>
      </c>
    </row>
    <row r="364" spans="1:16" x14ac:dyDescent="0.3">
      <c r="A364" s="3" t="s">
        <v>378</v>
      </c>
      <c r="B364" s="4">
        <v>45364</v>
      </c>
      <c r="C364" s="3" t="s">
        <v>517</v>
      </c>
      <c r="D364" s="3" t="s">
        <v>536</v>
      </c>
      <c r="E364" s="3" t="s">
        <v>560</v>
      </c>
      <c r="F364" s="3" t="s">
        <v>572</v>
      </c>
      <c r="G364" s="3" t="s">
        <v>583</v>
      </c>
      <c r="H364">
        <v>1</v>
      </c>
      <c r="I364" s="5">
        <v>804.33</v>
      </c>
      <c r="J364">
        <v>0</v>
      </c>
      <c r="K364" s="5">
        <v>804.33</v>
      </c>
      <c r="L364" s="5">
        <v>560.62</v>
      </c>
      <c r="M364" s="5">
        <v>243.71</v>
      </c>
      <c r="N364">
        <f>YEAR(CleanedSalesData[[#This Row],[OrderDate]])</f>
        <v>2024</v>
      </c>
      <c r="O364">
        <f>MONTH(CleanedSalesData[[#This Row],[OrderDate]])</f>
        <v>3</v>
      </c>
      <c r="P364" t="str">
        <f>TEXT(CleanedSalesData[[#This Row],[OrderDate]], "yyyy-mm")</f>
        <v>2024-03</v>
      </c>
    </row>
    <row r="365" spans="1:16" x14ac:dyDescent="0.3">
      <c r="A365" s="3" t="s">
        <v>379</v>
      </c>
      <c r="B365" s="4">
        <v>45722</v>
      </c>
      <c r="C365" s="3" t="s">
        <v>520</v>
      </c>
      <c r="D365" s="3" t="s">
        <v>528</v>
      </c>
      <c r="E365" s="3" t="s">
        <v>552</v>
      </c>
      <c r="F365" s="3" t="s">
        <v>571</v>
      </c>
      <c r="G365" s="3" t="s">
        <v>575</v>
      </c>
      <c r="H365">
        <v>1</v>
      </c>
      <c r="I365" s="5">
        <v>48226.99</v>
      </c>
      <c r="J365">
        <v>0.05</v>
      </c>
      <c r="K365" s="5">
        <v>45815.64</v>
      </c>
      <c r="L365" s="5">
        <v>32574.92</v>
      </c>
      <c r="M365" s="5">
        <v>13240.72</v>
      </c>
      <c r="N365">
        <f>YEAR(CleanedSalesData[[#This Row],[OrderDate]])</f>
        <v>2025</v>
      </c>
      <c r="O365">
        <f>MONTH(CleanedSalesData[[#This Row],[OrderDate]])</f>
        <v>3</v>
      </c>
      <c r="P365" t="str">
        <f>TEXT(CleanedSalesData[[#This Row],[OrderDate]], "yyyy-mm")</f>
        <v>2025-03</v>
      </c>
    </row>
    <row r="366" spans="1:16" x14ac:dyDescent="0.3">
      <c r="A366" s="3" t="s">
        <v>380</v>
      </c>
      <c r="B366" s="4">
        <v>45332</v>
      </c>
      <c r="C366" s="3" t="s">
        <v>516</v>
      </c>
      <c r="D366" s="3" t="s">
        <v>522</v>
      </c>
      <c r="E366" s="3" t="s">
        <v>545</v>
      </c>
      <c r="F366" s="3" t="s">
        <v>573</v>
      </c>
      <c r="G366" s="3" t="s">
        <v>584</v>
      </c>
      <c r="H366">
        <v>1</v>
      </c>
      <c r="I366" s="5">
        <v>19643.53</v>
      </c>
      <c r="J366">
        <v>0</v>
      </c>
      <c r="K366" s="5">
        <v>19643.53</v>
      </c>
      <c r="L366" s="5">
        <v>17698.82</v>
      </c>
      <c r="M366" s="5">
        <v>1944.71</v>
      </c>
      <c r="N366">
        <f>YEAR(CleanedSalesData[[#This Row],[OrderDate]])</f>
        <v>2024</v>
      </c>
      <c r="O366">
        <f>MONTH(CleanedSalesData[[#This Row],[OrderDate]])</f>
        <v>2</v>
      </c>
      <c r="P366" t="str">
        <f>TEXT(CleanedSalesData[[#This Row],[OrderDate]], "yyyy-mm")</f>
        <v>2024-02</v>
      </c>
    </row>
    <row r="367" spans="1:16" x14ac:dyDescent="0.3">
      <c r="A367" s="3" t="s">
        <v>381</v>
      </c>
      <c r="B367" s="4">
        <v>45703</v>
      </c>
      <c r="C367" s="3" t="s">
        <v>516</v>
      </c>
      <c r="D367" s="3" t="s">
        <v>527</v>
      </c>
      <c r="E367" s="3" t="s">
        <v>558</v>
      </c>
      <c r="F367" s="3" t="s">
        <v>571</v>
      </c>
      <c r="G367" s="3" t="s">
        <v>578</v>
      </c>
      <c r="H367">
        <v>1</v>
      </c>
      <c r="I367" s="5">
        <v>9084.66</v>
      </c>
      <c r="J367">
        <v>0</v>
      </c>
      <c r="K367" s="5">
        <v>9084.66</v>
      </c>
      <c r="L367" s="5">
        <v>6413.77</v>
      </c>
      <c r="M367" s="5">
        <v>2670.89</v>
      </c>
      <c r="N367">
        <f>YEAR(CleanedSalesData[[#This Row],[OrderDate]])</f>
        <v>2025</v>
      </c>
      <c r="O367">
        <f>MONTH(CleanedSalesData[[#This Row],[OrderDate]])</f>
        <v>2</v>
      </c>
      <c r="P367" t="str">
        <f>TEXT(CleanedSalesData[[#This Row],[OrderDate]], "yyyy-mm")</f>
        <v>2025-02</v>
      </c>
    </row>
    <row r="368" spans="1:16" x14ac:dyDescent="0.3">
      <c r="A368" s="3" t="s">
        <v>382</v>
      </c>
      <c r="B368" s="4">
        <v>45451</v>
      </c>
      <c r="C368" s="3" t="s">
        <v>517</v>
      </c>
      <c r="D368" s="3" t="s">
        <v>531</v>
      </c>
      <c r="E368" s="3" t="s">
        <v>563</v>
      </c>
      <c r="F368" s="3" t="s">
        <v>573</v>
      </c>
      <c r="G368" s="3" t="s">
        <v>582</v>
      </c>
      <c r="H368">
        <v>2</v>
      </c>
      <c r="I368" s="5">
        <v>9133.9</v>
      </c>
      <c r="J368">
        <v>0</v>
      </c>
      <c r="K368" s="5">
        <v>18267.8</v>
      </c>
      <c r="L368" s="5">
        <v>14486.37</v>
      </c>
      <c r="M368" s="5">
        <v>3781.43</v>
      </c>
      <c r="N368">
        <f>YEAR(CleanedSalesData[[#This Row],[OrderDate]])</f>
        <v>2024</v>
      </c>
      <c r="O368">
        <f>MONTH(CleanedSalesData[[#This Row],[OrderDate]])</f>
        <v>6</v>
      </c>
      <c r="P368" t="str">
        <f>TEXT(CleanedSalesData[[#This Row],[OrderDate]], "yyyy-mm")</f>
        <v>2024-06</v>
      </c>
    </row>
    <row r="369" spans="1:16" x14ac:dyDescent="0.3">
      <c r="A369" s="3" t="s">
        <v>383</v>
      </c>
      <c r="B369" s="4">
        <v>45536</v>
      </c>
      <c r="C369" s="3" t="s">
        <v>516</v>
      </c>
      <c r="D369" s="3" t="s">
        <v>527</v>
      </c>
      <c r="E369" s="3" t="s">
        <v>546</v>
      </c>
      <c r="F369" s="3" t="s">
        <v>572</v>
      </c>
      <c r="G369" s="3" t="s">
        <v>588</v>
      </c>
      <c r="H369">
        <v>1</v>
      </c>
      <c r="I369" s="5">
        <v>934.08</v>
      </c>
      <c r="J369">
        <v>0</v>
      </c>
      <c r="K369" s="5">
        <v>934.08</v>
      </c>
      <c r="L369" s="5">
        <v>641.71</v>
      </c>
      <c r="M369" s="5">
        <v>292.37</v>
      </c>
      <c r="N369">
        <f>YEAR(CleanedSalesData[[#This Row],[OrderDate]])</f>
        <v>2024</v>
      </c>
      <c r="O369">
        <f>MONTH(CleanedSalesData[[#This Row],[OrderDate]])</f>
        <v>9</v>
      </c>
      <c r="P369" t="str">
        <f>TEXT(CleanedSalesData[[#This Row],[OrderDate]], "yyyy-mm")</f>
        <v>2024-09</v>
      </c>
    </row>
    <row r="370" spans="1:16" x14ac:dyDescent="0.3">
      <c r="A370" s="3" t="s">
        <v>384</v>
      </c>
      <c r="B370" s="4">
        <v>45608</v>
      </c>
      <c r="C370" s="3" t="s">
        <v>518</v>
      </c>
      <c r="D370" s="3" t="s">
        <v>537</v>
      </c>
      <c r="E370" s="3" t="s">
        <v>561</v>
      </c>
      <c r="F370" s="3" t="s">
        <v>573</v>
      </c>
      <c r="G370" s="3" t="s">
        <v>585</v>
      </c>
      <c r="H370">
        <v>1</v>
      </c>
      <c r="I370" s="5">
        <v>18134.490000000002</v>
      </c>
      <c r="J370">
        <v>0.1</v>
      </c>
      <c r="K370" s="5">
        <v>16321.04</v>
      </c>
      <c r="L370" s="5">
        <v>11506.33</v>
      </c>
      <c r="M370" s="5">
        <v>4814.71</v>
      </c>
      <c r="N370">
        <f>YEAR(CleanedSalesData[[#This Row],[OrderDate]])</f>
        <v>2024</v>
      </c>
      <c r="O370">
        <f>MONTH(CleanedSalesData[[#This Row],[OrderDate]])</f>
        <v>11</v>
      </c>
      <c r="P370" t="str">
        <f>TEXT(CleanedSalesData[[#This Row],[OrderDate]], "yyyy-mm")</f>
        <v>2024-11</v>
      </c>
    </row>
    <row r="371" spans="1:16" x14ac:dyDescent="0.3">
      <c r="A371" s="3" t="s">
        <v>385</v>
      </c>
      <c r="B371" s="4">
        <v>45827</v>
      </c>
      <c r="C371" s="3" t="s">
        <v>517</v>
      </c>
      <c r="D371" s="3" t="s">
        <v>531</v>
      </c>
      <c r="E371" s="3" t="s">
        <v>551</v>
      </c>
      <c r="F371" s="3" t="s">
        <v>572</v>
      </c>
      <c r="G371" s="3" t="s">
        <v>583</v>
      </c>
      <c r="H371">
        <v>1</v>
      </c>
      <c r="I371" s="5">
        <v>1512.06</v>
      </c>
      <c r="J371">
        <v>0</v>
      </c>
      <c r="K371" s="5">
        <v>1512.06</v>
      </c>
      <c r="L371" s="5">
        <v>1265.5899999999999</v>
      </c>
      <c r="M371" s="5">
        <v>246.47</v>
      </c>
      <c r="N371">
        <f>YEAR(CleanedSalesData[[#This Row],[OrderDate]])</f>
        <v>2025</v>
      </c>
      <c r="O371">
        <f>MONTH(CleanedSalesData[[#This Row],[OrderDate]])</f>
        <v>6</v>
      </c>
      <c r="P371" t="str">
        <f>TEXT(CleanedSalesData[[#This Row],[OrderDate]], "yyyy-mm")</f>
        <v>2025-06</v>
      </c>
    </row>
    <row r="372" spans="1:16" x14ac:dyDescent="0.3">
      <c r="A372" s="3" t="s">
        <v>386</v>
      </c>
      <c r="B372" s="4">
        <v>45412</v>
      </c>
      <c r="C372" s="3" t="s">
        <v>516</v>
      </c>
      <c r="D372" s="3" t="s">
        <v>521</v>
      </c>
      <c r="E372" s="3" t="s">
        <v>568</v>
      </c>
      <c r="F372" s="3" t="s">
        <v>572</v>
      </c>
      <c r="G372" s="3" t="s">
        <v>587</v>
      </c>
      <c r="H372">
        <v>1</v>
      </c>
      <c r="I372" s="5">
        <v>174.55</v>
      </c>
      <c r="J372">
        <v>0</v>
      </c>
      <c r="K372" s="5">
        <v>174.55</v>
      </c>
      <c r="L372" s="5">
        <v>150.11000000000001</v>
      </c>
      <c r="M372" s="5">
        <v>24.44</v>
      </c>
      <c r="N372">
        <f>YEAR(CleanedSalesData[[#This Row],[OrderDate]])</f>
        <v>2024</v>
      </c>
      <c r="O372">
        <f>MONTH(CleanedSalesData[[#This Row],[OrderDate]])</f>
        <v>4</v>
      </c>
      <c r="P372" t="str">
        <f>TEXT(CleanedSalesData[[#This Row],[OrderDate]], "yyyy-mm")</f>
        <v>2024-04</v>
      </c>
    </row>
    <row r="373" spans="1:16" x14ac:dyDescent="0.3">
      <c r="A373" s="3" t="s">
        <v>387</v>
      </c>
      <c r="B373" s="4">
        <v>45882</v>
      </c>
      <c r="C373" s="3" t="s">
        <v>516</v>
      </c>
      <c r="D373" s="3" t="s">
        <v>522</v>
      </c>
      <c r="E373" s="3" t="s">
        <v>545</v>
      </c>
      <c r="F373" s="3" t="s">
        <v>573</v>
      </c>
      <c r="G373" s="3" t="s">
        <v>580</v>
      </c>
      <c r="H373">
        <v>2</v>
      </c>
      <c r="I373" s="5">
        <v>3275.1</v>
      </c>
      <c r="J373">
        <v>0</v>
      </c>
      <c r="K373" s="5">
        <v>6550.2</v>
      </c>
      <c r="L373" s="5">
        <v>5233.6099999999997</v>
      </c>
      <c r="M373" s="5">
        <v>1316.59</v>
      </c>
      <c r="N373">
        <f>YEAR(CleanedSalesData[[#This Row],[OrderDate]])</f>
        <v>2025</v>
      </c>
      <c r="O373">
        <f>MONTH(CleanedSalesData[[#This Row],[OrderDate]])</f>
        <v>8</v>
      </c>
      <c r="P373" t="str">
        <f>TEXT(CleanedSalesData[[#This Row],[OrderDate]], "yyyy-mm")</f>
        <v>2025-08</v>
      </c>
    </row>
    <row r="374" spans="1:16" x14ac:dyDescent="0.3">
      <c r="A374" s="3" t="s">
        <v>388</v>
      </c>
      <c r="B374" s="4">
        <v>45462</v>
      </c>
      <c r="C374" s="3" t="s">
        <v>520</v>
      </c>
      <c r="D374" s="3" t="s">
        <v>528</v>
      </c>
      <c r="E374" s="3" t="s">
        <v>552</v>
      </c>
      <c r="F374" s="3" t="s">
        <v>571</v>
      </c>
      <c r="G374" s="3" t="s">
        <v>579</v>
      </c>
      <c r="H374">
        <v>1</v>
      </c>
      <c r="I374" s="5">
        <v>54907.27</v>
      </c>
      <c r="J374">
        <v>0.15</v>
      </c>
      <c r="K374" s="5">
        <v>46671.18</v>
      </c>
      <c r="L374" s="5">
        <v>31736.400000000001</v>
      </c>
      <c r="M374" s="5">
        <v>14934.78</v>
      </c>
      <c r="N374">
        <f>YEAR(CleanedSalesData[[#This Row],[OrderDate]])</f>
        <v>2024</v>
      </c>
      <c r="O374">
        <f>MONTH(CleanedSalesData[[#This Row],[OrderDate]])</f>
        <v>6</v>
      </c>
      <c r="P374" t="str">
        <f>TEXT(CleanedSalesData[[#This Row],[OrderDate]], "yyyy-mm")</f>
        <v>2024-06</v>
      </c>
    </row>
    <row r="375" spans="1:16" x14ac:dyDescent="0.3">
      <c r="A375" s="3" t="s">
        <v>389</v>
      </c>
      <c r="B375" s="4">
        <v>45813</v>
      </c>
      <c r="C375" s="3" t="s">
        <v>516</v>
      </c>
      <c r="D375" s="3" t="s">
        <v>525</v>
      </c>
      <c r="E375" s="3" t="s">
        <v>557</v>
      </c>
      <c r="F375" s="3" t="s">
        <v>571</v>
      </c>
      <c r="G375" s="3" t="s">
        <v>575</v>
      </c>
      <c r="H375">
        <v>1</v>
      </c>
      <c r="I375" s="5">
        <v>39325.870000000003</v>
      </c>
      <c r="J375">
        <v>0</v>
      </c>
      <c r="K375" s="5">
        <v>39325.870000000003</v>
      </c>
      <c r="L375" s="5">
        <v>30949.46</v>
      </c>
      <c r="M375" s="5">
        <v>8376.41</v>
      </c>
      <c r="N375">
        <f>YEAR(CleanedSalesData[[#This Row],[OrderDate]])</f>
        <v>2025</v>
      </c>
      <c r="O375">
        <f>MONTH(CleanedSalesData[[#This Row],[OrderDate]])</f>
        <v>6</v>
      </c>
      <c r="P375" t="str">
        <f>TEXT(CleanedSalesData[[#This Row],[OrderDate]], "yyyy-mm")</f>
        <v>2025-06</v>
      </c>
    </row>
    <row r="376" spans="1:16" x14ac:dyDescent="0.3">
      <c r="A376" s="3" t="s">
        <v>390</v>
      </c>
      <c r="B376" s="4">
        <v>45445</v>
      </c>
      <c r="C376" s="3" t="s">
        <v>518</v>
      </c>
      <c r="D376" s="3" t="s">
        <v>537</v>
      </c>
      <c r="E376" s="3" t="s">
        <v>569</v>
      </c>
      <c r="F376" s="3" t="s">
        <v>571</v>
      </c>
      <c r="G376" s="3" t="s">
        <v>578</v>
      </c>
      <c r="H376">
        <v>3</v>
      </c>
      <c r="I376" s="5">
        <v>22116.27</v>
      </c>
      <c r="J376">
        <v>0</v>
      </c>
      <c r="K376" s="5">
        <v>66348.81</v>
      </c>
      <c r="L376" s="5">
        <v>50624.14</v>
      </c>
      <c r="M376" s="5">
        <v>15724.67</v>
      </c>
      <c r="N376">
        <f>YEAR(CleanedSalesData[[#This Row],[OrderDate]])</f>
        <v>2024</v>
      </c>
      <c r="O376">
        <f>MONTH(CleanedSalesData[[#This Row],[OrderDate]])</f>
        <v>6</v>
      </c>
      <c r="P376" t="str">
        <f>TEXT(CleanedSalesData[[#This Row],[OrderDate]], "yyyy-mm")</f>
        <v>2024-06</v>
      </c>
    </row>
    <row r="377" spans="1:16" x14ac:dyDescent="0.3">
      <c r="A377" s="3" t="s">
        <v>391</v>
      </c>
      <c r="B377" s="4">
        <v>45619</v>
      </c>
      <c r="C377" s="3" t="s">
        <v>520</v>
      </c>
      <c r="D377" s="3" t="s">
        <v>528</v>
      </c>
      <c r="E377" s="3" t="s">
        <v>552</v>
      </c>
      <c r="F377" s="3" t="s">
        <v>571</v>
      </c>
      <c r="G377" s="3" t="s">
        <v>579</v>
      </c>
      <c r="H377">
        <v>1</v>
      </c>
      <c r="I377" s="5">
        <v>54846.080000000002</v>
      </c>
      <c r="J377">
        <v>0.05</v>
      </c>
      <c r="K377" s="5">
        <v>52103.78</v>
      </c>
      <c r="L377" s="5">
        <v>34805.33</v>
      </c>
      <c r="M377" s="5">
        <v>17298.45</v>
      </c>
      <c r="N377">
        <f>YEAR(CleanedSalesData[[#This Row],[OrderDate]])</f>
        <v>2024</v>
      </c>
      <c r="O377">
        <f>MONTH(CleanedSalesData[[#This Row],[OrderDate]])</f>
        <v>11</v>
      </c>
      <c r="P377" t="str">
        <f>TEXT(CleanedSalesData[[#This Row],[OrderDate]], "yyyy-mm")</f>
        <v>2024-11</v>
      </c>
    </row>
    <row r="378" spans="1:16" x14ac:dyDescent="0.3">
      <c r="A378" s="3" t="s">
        <v>392</v>
      </c>
      <c r="B378" s="4">
        <v>45820</v>
      </c>
      <c r="C378" s="3" t="s">
        <v>516</v>
      </c>
      <c r="D378" s="3" t="s">
        <v>522</v>
      </c>
      <c r="E378" s="3" t="s">
        <v>539</v>
      </c>
      <c r="F378" s="3" t="s">
        <v>572</v>
      </c>
      <c r="G378" s="3" t="s">
        <v>577</v>
      </c>
      <c r="H378">
        <v>1</v>
      </c>
      <c r="I378" s="5">
        <v>1558.38</v>
      </c>
      <c r="J378">
        <v>0</v>
      </c>
      <c r="K378" s="5">
        <v>1558.38</v>
      </c>
      <c r="L378" s="5">
        <v>1324.62</v>
      </c>
      <c r="M378" s="5">
        <v>233.76</v>
      </c>
      <c r="N378">
        <f>YEAR(CleanedSalesData[[#This Row],[OrderDate]])</f>
        <v>2025</v>
      </c>
      <c r="O378">
        <f>MONTH(CleanedSalesData[[#This Row],[OrderDate]])</f>
        <v>6</v>
      </c>
      <c r="P378" t="str">
        <f>TEXT(CleanedSalesData[[#This Row],[OrderDate]], "yyyy-mm")</f>
        <v>2025-06</v>
      </c>
    </row>
    <row r="379" spans="1:16" x14ac:dyDescent="0.3">
      <c r="A379" s="3" t="s">
        <v>393</v>
      </c>
      <c r="B379" s="4">
        <v>45380</v>
      </c>
      <c r="C379" s="3" t="s">
        <v>517</v>
      </c>
      <c r="D379" s="3" t="s">
        <v>530</v>
      </c>
      <c r="E379" s="3" t="s">
        <v>567</v>
      </c>
      <c r="F379" s="3" t="s">
        <v>572</v>
      </c>
      <c r="G379" s="3" t="s">
        <v>583</v>
      </c>
      <c r="H379">
        <v>1</v>
      </c>
      <c r="I379" s="5">
        <v>618.61</v>
      </c>
      <c r="J379">
        <v>0</v>
      </c>
      <c r="K379" s="5">
        <v>618.61</v>
      </c>
      <c r="L379" s="5">
        <v>440.45</v>
      </c>
      <c r="M379" s="5">
        <v>178.16</v>
      </c>
      <c r="N379">
        <f>YEAR(CleanedSalesData[[#This Row],[OrderDate]])</f>
        <v>2024</v>
      </c>
      <c r="O379">
        <f>MONTH(CleanedSalesData[[#This Row],[OrderDate]])</f>
        <v>3</v>
      </c>
      <c r="P379" t="str">
        <f>TEXT(CleanedSalesData[[#This Row],[OrderDate]], "yyyy-mm")</f>
        <v>2024-03</v>
      </c>
    </row>
    <row r="380" spans="1:16" x14ac:dyDescent="0.3">
      <c r="A380" s="3" t="s">
        <v>394</v>
      </c>
      <c r="B380" s="4">
        <v>45540</v>
      </c>
      <c r="C380" s="3" t="s">
        <v>519</v>
      </c>
      <c r="D380" s="3" t="s">
        <v>532</v>
      </c>
      <c r="E380" s="3" t="s">
        <v>554</v>
      </c>
      <c r="F380" s="3" t="s">
        <v>571</v>
      </c>
      <c r="G380" s="3" t="s">
        <v>579</v>
      </c>
      <c r="H380">
        <v>1</v>
      </c>
      <c r="I380" s="5">
        <v>61557.13</v>
      </c>
      <c r="J380">
        <v>0</v>
      </c>
      <c r="K380" s="5">
        <v>61557.13</v>
      </c>
      <c r="L380" s="5">
        <v>48630.13</v>
      </c>
      <c r="M380" s="5">
        <v>12927</v>
      </c>
      <c r="N380">
        <f>YEAR(CleanedSalesData[[#This Row],[OrderDate]])</f>
        <v>2024</v>
      </c>
      <c r="O380">
        <f>MONTH(CleanedSalesData[[#This Row],[OrderDate]])</f>
        <v>9</v>
      </c>
      <c r="P380" t="str">
        <f>TEXT(CleanedSalesData[[#This Row],[OrderDate]], "yyyy-mm")</f>
        <v>2024-09</v>
      </c>
    </row>
    <row r="381" spans="1:16" x14ac:dyDescent="0.3">
      <c r="A381" s="3" t="s">
        <v>395</v>
      </c>
      <c r="B381" s="4">
        <v>45298</v>
      </c>
      <c r="C381" s="3" t="s">
        <v>519</v>
      </c>
      <c r="D381" s="3" t="s">
        <v>526</v>
      </c>
      <c r="E381" s="3" t="s">
        <v>562</v>
      </c>
      <c r="F381" s="3" t="s">
        <v>573</v>
      </c>
      <c r="G381" s="3" t="s">
        <v>580</v>
      </c>
      <c r="H381">
        <v>3</v>
      </c>
      <c r="I381" s="5">
        <v>16626.66</v>
      </c>
      <c r="J381">
        <v>0</v>
      </c>
      <c r="K381" s="5">
        <v>49879.98</v>
      </c>
      <c r="L381" s="5">
        <v>35564.43</v>
      </c>
      <c r="M381" s="5">
        <v>14315.55</v>
      </c>
      <c r="N381">
        <f>YEAR(CleanedSalesData[[#This Row],[OrderDate]])</f>
        <v>2024</v>
      </c>
      <c r="O381">
        <f>MONTH(CleanedSalesData[[#This Row],[OrderDate]])</f>
        <v>1</v>
      </c>
      <c r="P381" t="str">
        <f>TEXT(CleanedSalesData[[#This Row],[OrderDate]], "yyyy-mm")</f>
        <v>2024-01</v>
      </c>
    </row>
    <row r="382" spans="1:16" x14ac:dyDescent="0.3">
      <c r="A382" s="3" t="s">
        <v>396</v>
      </c>
      <c r="B382" s="4">
        <v>45301</v>
      </c>
      <c r="C382" s="3" t="s">
        <v>520</v>
      </c>
      <c r="D382" s="3" t="s">
        <v>528</v>
      </c>
      <c r="E382" s="3" t="s">
        <v>552</v>
      </c>
      <c r="F382" s="3" t="s">
        <v>573</v>
      </c>
      <c r="G382" s="3" t="s">
        <v>580</v>
      </c>
      <c r="H382">
        <v>1</v>
      </c>
      <c r="I382" s="5">
        <v>4390.83</v>
      </c>
      <c r="J382">
        <v>0</v>
      </c>
      <c r="K382" s="5">
        <v>4390.83</v>
      </c>
      <c r="L382" s="5">
        <v>3758.55</v>
      </c>
      <c r="M382" s="5">
        <v>632.28</v>
      </c>
      <c r="N382">
        <f>YEAR(CleanedSalesData[[#This Row],[OrderDate]])</f>
        <v>2024</v>
      </c>
      <c r="O382">
        <f>MONTH(CleanedSalesData[[#This Row],[OrderDate]])</f>
        <v>1</v>
      </c>
      <c r="P382" t="str">
        <f>TEXT(CleanedSalesData[[#This Row],[OrderDate]], "yyyy-mm")</f>
        <v>2024-01</v>
      </c>
    </row>
    <row r="383" spans="1:16" x14ac:dyDescent="0.3">
      <c r="A383" s="3" t="s">
        <v>397</v>
      </c>
      <c r="B383" s="4">
        <v>45535</v>
      </c>
      <c r="C383" s="3" t="s">
        <v>519</v>
      </c>
      <c r="D383" s="3" t="s">
        <v>534</v>
      </c>
      <c r="E383" s="3" t="s">
        <v>566</v>
      </c>
      <c r="F383" s="3" t="s">
        <v>571</v>
      </c>
      <c r="G383" s="3" t="s">
        <v>578</v>
      </c>
      <c r="H383">
        <v>1</v>
      </c>
      <c r="I383" s="5">
        <v>10163.049999999999</v>
      </c>
      <c r="J383">
        <v>0</v>
      </c>
      <c r="K383" s="5">
        <v>10163.049999999999</v>
      </c>
      <c r="L383" s="5">
        <v>7388.54</v>
      </c>
      <c r="M383" s="5">
        <v>2774.51</v>
      </c>
      <c r="N383">
        <f>YEAR(CleanedSalesData[[#This Row],[OrderDate]])</f>
        <v>2024</v>
      </c>
      <c r="O383">
        <f>MONTH(CleanedSalesData[[#This Row],[OrderDate]])</f>
        <v>8</v>
      </c>
      <c r="P383" t="str">
        <f>TEXT(CleanedSalesData[[#This Row],[OrderDate]], "yyyy-mm")</f>
        <v>2024-08</v>
      </c>
    </row>
    <row r="384" spans="1:16" x14ac:dyDescent="0.3">
      <c r="A384" s="3" t="s">
        <v>398</v>
      </c>
      <c r="B384" s="4">
        <v>45824</v>
      </c>
      <c r="C384" s="3" t="s">
        <v>519</v>
      </c>
      <c r="D384" s="3" t="s">
        <v>532</v>
      </c>
      <c r="E384" s="3" t="s">
        <v>554</v>
      </c>
      <c r="F384" s="3" t="s">
        <v>573</v>
      </c>
      <c r="G384" s="3" t="s">
        <v>582</v>
      </c>
      <c r="H384">
        <v>1</v>
      </c>
      <c r="I384" s="5">
        <v>15357.72</v>
      </c>
      <c r="J384">
        <v>0</v>
      </c>
      <c r="K384" s="5">
        <v>15357.72</v>
      </c>
      <c r="L384" s="5">
        <v>11963.66</v>
      </c>
      <c r="M384" s="5">
        <v>3394.06</v>
      </c>
      <c r="N384">
        <f>YEAR(CleanedSalesData[[#This Row],[OrderDate]])</f>
        <v>2025</v>
      </c>
      <c r="O384">
        <f>MONTH(CleanedSalesData[[#This Row],[OrderDate]])</f>
        <v>6</v>
      </c>
      <c r="P384" t="str">
        <f>TEXT(CleanedSalesData[[#This Row],[OrderDate]], "yyyy-mm")</f>
        <v>2025-06</v>
      </c>
    </row>
    <row r="385" spans="1:16" x14ac:dyDescent="0.3">
      <c r="A385" s="3" t="s">
        <v>399</v>
      </c>
      <c r="B385" s="4">
        <v>45695</v>
      </c>
      <c r="C385" s="3" t="s">
        <v>516</v>
      </c>
      <c r="D385" s="3" t="s">
        <v>525</v>
      </c>
      <c r="E385" s="3" t="s">
        <v>542</v>
      </c>
      <c r="F385" s="3" t="s">
        <v>573</v>
      </c>
      <c r="G385" s="3" t="s">
        <v>585</v>
      </c>
      <c r="H385">
        <v>2</v>
      </c>
      <c r="I385" s="5">
        <v>7445.75</v>
      </c>
      <c r="J385">
        <v>0</v>
      </c>
      <c r="K385" s="5">
        <v>14891.5</v>
      </c>
      <c r="L385" s="5">
        <v>10230.459999999999</v>
      </c>
      <c r="M385" s="5">
        <v>4661.04</v>
      </c>
      <c r="N385">
        <f>YEAR(CleanedSalesData[[#This Row],[OrderDate]])</f>
        <v>2025</v>
      </c>
      <c r="O385">
        <f>MONTH(CleanedSalesData[[#This Row],[OrderDate]])</f>
        <v>2</v>
      </c>
      <c r="P385" t="str">
        <f>TEXT(CleanedSalesData[[#This Row],[OrderDate]], "yyyy-mm")</f>
        <v>2025-02</v>
      </c>
    </row>
    <row r="386" spans="1:16" x14ac:dyDescent="0.3">
      <c r="A386" s="3" t="s">
        <v>400</v>
      </c>
      <c r="B386" s="4">
        <v>45614</v>
      </c>
      <c r="C386" s="3" t="s">
        <v>519</v>
      </c>
      <c r="D386" s="3" t="s">
        <v>532</v>
      </c>
      <c r="E386" s="3" t="s">
        <v>554</v>
      </c>
      <c r="F386" s="3" t="s">
        <v>572</v>
      </c>
      <c r="G386" s="3" t="s">
        <v>577</v>
      </c>
      <c r="H386">
        <v>1</v>
      </c>
      <c r="I386" s="5">
        <v>505.54</v>
      </c>
      <c r="J386">
        <v>0</v>
      </c>
      <c r="K386" s="5">
        <v>505.54</v>
      </c>
      <c r="L386" s="5">
        <v>355.9</v>
      </c>
      <c r="M386" s="5">
        <v>149.63999999999999</v>
      </c>
      <c r="N386">
        <f>YEAR(CleanedSalesData[[#This Row],[OrderDate]])</f>
        <v>2024</v>
      </c>
      <c r="O386">
        <f>MONTH(CleanedSalesData[[#This Row],[OrderDate]])</f>
        <v>11</v>
      </c>
      <c r="P386" t="str">
        <f>TEXT(CleanedSalesData[[#This Row],[OrderDate]], "yyyy-mm")</f>
        <v>2024-11</v>
      </c>
    </row>
    <row r="387" spans="1:16" x14ac:dyDescent="0.3">
      <c r="A387" s="3" t="s">
        <v>401</v>
      </c>
      <c r="B387" s="4">
        <v>45431</v>
      </c>
      <c r="C387" s="3" t="s">
        <v>517</v>
      </c>
      <c r="D387" s="3" t="s">
        <v>536</v>
      </c>
      <c r="E387" s="3" t="s">
        <v>560</v>
      </c>
      <c r="F387" s="3" t="s">
        <v>571</v>
      </c>
      <c r="G387" s="3" t="s">
        <v>574</v>
      </c>
      <c r="H387">
        <v>1</v>
      </c>
      <c r="I387" s="5">
        <v>37616.639999999999</v>
      </c>
      <c r="J387">
        <v>0</v>
      </c>
      <c r="K387" s="5">
        <v>37616.639999999999</v>
      </c>
      <c r="L387" s="5">
        <v>26181.18</v>
      </c>
      <c r="M387" s="5">
        <v>11435.46</v>
      </c>
      <c r="N387">
        <f>YEAR(CleanedSalesData[[#This Row],[OrderDate]])</f>
        <v>2024</v>
      </c>
      <c r="O387">
        <f>MONTH(CleanedSalesData[[#This Row],[OrderDate]])</f>
        <v>5</v>
      </c>
      <c r="P387" t="str">
        <f>TEXT(CleanedSalesData[[#This Row],[OrderDate]], "yyyy-mm")</f>
        <v>2024-05</v>
      </c>
    </row>
    <row r="388" spans="1:16" x14ac:dyDescent="0.3">
      <c r="A388" s="3" t="s">
        <v>402</v>
      </c>
      <c r="B388" s="4">
        <v>45415</v>
      </c>
      <c r="C388" s="3" t="s">
        <v>517</v>
      </c>
      <c r="D388" s="3" t="s">
        <v>531</v>
      </c>
      <c r="E388" s="3" t="s">
        <v>551</v>
      </c>
      <c r="F388" s="3" t="s">
        <v>572</v>
      </c>
      <c r="G388" s="3" t="s">
        <v>577</v>
      </c>
      <c r="H388">
        <v>1</v>
      </c>
      <c r="I388" s="5">
        <v>953.53</v>
      </c>
      <c r="J388">
        <v>0</v>
      </c>
      <c r="K388" s="5">
        <v>953.53</v>
      </c>
      <c r="L388" s="5">
        <v>792.38</v>
      </c>
      <c r="M388" s="5">
        <v>161.15</v>
      </c>
      <c r="N388">
        <f>YEAR(CleanedSalesData[[#This Row],[OrderDate]])</f>
        <v>2024</v>
      </c>
      <c r="O388">
        <f>MONTH(CleanedSalesData[[#This Row],[OrderDate]])</f>
        <v>5</v>
      </c>
      <c r="P388" t="str">
        <f>TEXT(CleanedSalesData[[#This Row],[OrderDate]], "yyyy-mm")</f>
        <v>2024-05</v>
      </c>
    </row>
    <row r="389" spans="1:16" x14ac:dyDescent="0.3">
      <c r="A389" s="3" t="s">
        <v>403</v>
      </c>
      <c r="B389" s="4">
        <v>45384</v>
      </c>
      <c r="C389" s="3" t="s">
        <v>518</v>
      </c>
      <c r="D389" s="3" t="s">
        <v>524</v>
      </c>
      <c r="E389" s="3" t="s">
        <v>541</v>
      </c>
      <c r="F389" s="3" t="s">
        <v>573</v>
      </c>
      <c r="G389" s="3" t="s">
        <v>584</v>
      </c>
      <c r="H389">
        <v>2</v>
      </c>
      <c r="I389" s="5">
        <v>2927.59</v>
      </c>
      <c r="J389">
        <v>0</v>
      </c>
      <c r="K389" s="5">
        <v>5855.18</v>
      </c>
      <c r="L389" s="5">
        <v>5298.94</v>
      </c>
      <c r="M389" s="5">
        <v>556.24</v>
      </c>
      <c r="N389">
        <f>YEAR(CleanedSalesData[[#This Row],[OrderDate]])</f>
        <v>2024</v>
      </c>
      <c r="O389">
        <f>MONTH(CleanedSalesData[[#This Row],[OrderDate]])</f>
        <v>4</v>
      </c>
      <c r="P389" t="str">
        <f>TEXT(CleanedSalesData[[#This Row],[OrderDate]], "yyyy-mm")</f>
        <v>2024-04</v>
      </c>
    </row>
    <row r="390" spans="1:16" x14ac:dyDescent="0.3">
      <c r="A390" s="3" t="s">
        <v>404</v>
      </c>
      <c r="B390" s="4">
        <v>45627</v>
      </c>
      <c r="C390" s="3" t="s">
        <v>518</v>
      </c>
      <c r="D390" s="3" t="s">
        <v>537</v>
      </c>
      <c r="E390" s="3" t="s">
        <v>561</v>
      </c>
      <c r="F390" s="3" t="s">
        <v>572</v>
      </c>
      <c r="G390" s="3" t="s">
        <v>586</v>
      </c>
      <c r="H390">
        <v>1</v>
      </c>
      <c r="I390" s="5">
        <v>1051.25</v>
      </c>
      <c r="J390">
        <v>0</v>
      </c>
      <c r="K390" s="5">
        <v>1051.25</v>
      </c>
      <c r="L390" s="5">
        <v>770.57</v>
      </c>
      <c r="M390" s="5">
        <v>280.68</v>
      </c>
      <c r="N390">
        <f>YEAR(CleanedSalesData[[#This Row],[OrderDate]])</f>
        <v>2024</v>
      </c>
      <c r="O390">
        <f>MONTH(CleanedSalesData[[#This Row],[OrderDate]])</f>
        <v>12</v>
      </c>
      <c r="P390" t="str">
        <f>TEXT(CleanedSalesData[[#This Row],[OrderDate]], "yyyy-mm")</f>
        <v>2024-12</v>
      </c>
    </row>
    <row r="391" spans="1:16" x14ac:dyDescent="0.3">
      <c r="A391" s="3" t="s">
        <v>405</v>
      </c>
      <c r="B391" s="4">
        <v>45558</v>
      </c>
      <c r="C391" s="3" t="s">
        <v>518</v>
      </c>
      <c r="D391" s="3" t="s">
        <v>537</v>
      </c>
      <c r="E391" s="3" t="s">
        <v>569</v>
      </c>
      <c r="F391" s="3" t="s">
        <v>572</v>
      </c>
      <c r="G391" s="3" t="s">
        <v>587</v>
      </c>
      <c r="H391">
        <v>2</v>
      </c>
      <c r="I391" s="5">
        <v>1508.75</v>
      </c>
      <c r="J391">
        <v>0</v>
      </c>
      <c r="K391" s="5">
        <v>3017.5</v>
      </c>
      <c r="L391" s="5">
        <v>2287.2600000000002</v>
      </c>
      <c r="M391" s="5">
        <v>730.24</v>
      </c>
      <c r="N391">
        <f>YEAR(CleanedSalesData[[#This Row],[OrderDate]])</f>
        <v>2024</v>
      </c>
      <c r="O391">
        <f>MONTH(CleanedSalesData[[#This Row],[OrderDate]])</f>
        <v>9</v>
      </c>
      <c r="P391" t="str">
        <f>TEXT(CleanedSalesData[[#This Row],[OrderDate]], "yyyy-mm")</f>
        <v>2024-09</v>
      </c>
    </row>
    <row r="392" spans="1:16" x14ac:dyDescent="0.3">
      <c r="A392" s="3" t="s">
        <v>406</v>
      </c>
      <c r="B392" s="4">
        <v>45765</v>
      </c>
      <c r="C392" s="3" t="s">
        <v>516</v>
      </c>
      <c r="D392" s="3" t="s">
        <v>527</v>
      </c>
      <c r="E392" s="3" t="s">
        <v>546</v>
      </c>
      <c r="F392" s="3" t="s">
        <v>571</v>
      </c>
      <c r="G392" s="3" t="s">
        <v>575</v>
      </c>
      <c r="H392">
        <v>2</v>
      </c>
      <c r="I392" s="5">
        <v>66938.67</v>
      </c>
      <c r="J392">
        <v>0</v>
      </c>
      <c r="K392" s="5">
        <v>133877.34</v>
      </c>
      <c r="L392" s="5">
        <v>105361.47</v>
      </c>
      <c r="M392" s="5">
        <v>28515.87</v>
      </c>
      <c r="N392">
        <f>YEAR(CleanedSalesData[[#This Row],[OrderDate]])</f>
        <v>2025</v>
      </c>
      <c r="O392">
        <f>MONTH(CleanedSalesData[[#This Row],[OrderDate]])</f>
        <v>4</v>
      </c>
      <c r="P392" t="str">
        <f>TEXT(CleanedSalesData[[#This Row],[OrderDate]], "yyyy-mm")</f>
        <v>2025-04</v>
      </c>
    </row>
    <row r="393" spans="1:16" x14ac:dyDescent="0.3">
      <c r="A393" s="3" t="s">
        <v>407</v>
      </c>
      <c r="B393" s="4">
        <v>45425</v>
      </c>
      <c r="C393" s="3" t="s">
        <v>518</v>
      </c>
      <c r="D393" s="3" t="s">
        <v>529</v>
      </c>
      <c r="E393" s="3" t="s">
        <v>553</v>
      </c>
      <c r="F393" s="3" t="s">
        <v>573</v>
      </c>
      <c r="G393" s="3" t="s">
        <v>582</v>
      </c>
      <c r="H393">
        <v>1</v>
      </c>
      <c r="I393" s="5">
        <v>15393.45</v>
      </c>
      <c r="J393">
        <v>0</v>
      </c>
      <c r="K393" s="5">
        <v>15393.45</v>
      </c>
      <c r="L393" s="5">
        <v>13022.86</v>
      </c>
      <c r="M393" s="5">
        <v>2370.59</v>
      </c>
      <c r="N393">
        <f>YEAR(CleanedSalesData[[#This Row],[OrderDate]])</f>
        <v>2024</v>
      </c>
      <c r="O393">
        <f>MONTH(CleanedSalesData[[#This Row],[OrderDate]])</f>
        <v>5</v>
      </c>
      <c r="P393" t="str">
        <f>TEXT(CleanedSalesData[[#This Row],[OrderDate]], "yyyy-mm")</f>
        <v>2024-05</v>
      </c>
    </row>
    <row r="394" spans="1:16" x14ac:dyDescent="0.3">
      <c r="A394" s="3" t="s">
        <v>408</v>
      </c>
      <c r="B394" s="4">
        <v>45368</v>
      </c>
      <c r="C394" s="3" t="s">
        <v>516</v>
      </c>
      <c r="D394" s="3" t="s">
        <v>525</v>
      </c>
      <c r="E394" s="3" t="s">
        <v>557</v>
      </c>
      <c r="F394" s="3" t="s">
        <v>573</v>
      </c>
      <c r="G394" s="3" t="s">
        <v>581</v>
      </c>
      <c r="H394">
        <v>1</v>
      </c>
      <c r="I394" s="5">
        <v>20613.87</v>
      </c>
      <c r="J394">
        <v>0.1</v>
      </c>
      <c r="K394" s="5">
        <v>18552.48</v>
      </c>
      <c r="L394" s="5">
        <v>12560.03</v>
      </c>
      <c r="M394" s="5">
        <v>5992.45</v>
      </c>
      <c r="N394">
        <f>YEAR(CleanedSalesData[[#This Row],[OrderDate]])</f>
        <v>2024</v>
      </c>
      <c r="O394">
        <f>MONTH(CleanedSalesData[[#This Row],[OrderDate]])</f>
        <v>3</v>
      </c>
      <c r="P394" t="str">
        <f>TEXT(CleanedSalesData[[#This Row],[OrderDate]], "yyyy-mm")</f>
        <v>2024-03</v>
      </c>
    </row>
    <row r="395" spans="1:16" x14ac:dyDescent="0.3">
      <c r="A395" s="3" t="s">
        <v>409</v>
      </c>
      <c r="B395" s="4">
        <v>45417</v>
      </c>
      <c r="C395" s="3" t="s">
        <v>516</v>
      </c>
      <c r="D395" s="3" t="s">
        <v>522</v>
      </c>
      <c r="E395" s="3" t="s">
        <v>539</v>
      </c>
      <c r="F395" s="3" t="s">
        <v>571</v>
      </c>
      <c r="G395" s="3" t="s">
        <v>579</v>
      </c>
      <c r="H395">
        <v>1</v>
      </c>
      <c r="I395" s="5">
        <v>36353.040000000001</v>
      </c>
      <c r="J395">
        <v>0</v>
      </c>
      <c r="K395" s="5">
        <v>36353.040000000001</v>
      </c>
      <c r="L395" s="5">
        <v>30173.02</v>
      </c>
      <c r="M395" s="5">
        <v>6180.02</v>
      </c>
      <c r="N395">
        <f>YEAR(CleanedSalesData[[#This Row],[OrderDate]])</f>
        <v>2024</v>
      </c>
      <c r="O395">
        <f>MONTH(CleanedSalesData[[#This Row],[OrderDate]])</f>
        <v>5</v>
      </c>
      <c r="P395" t="str">
        <f>TEXT(CleanedSalesData[[#This Row],[OrderDate]], "yyyy-mm")</f>
        <v>2024-05</v>
      </c>
    </row>
    <row r="396" spans="1:16" x14ac:dyDescent="0.3">
      <c r="A396" s="3" t="s">
        <v>410</v>
      </c>
      <c r="B396" s="4">
        <v>45800</v>
      </c>
      <c r="C396" s="3" t="s">
        <v>516</v>
      </c>
      <c r="D396" s="3" t="s">
        <v>522</v>
      </c>
      <c r="E396" s="3" t="s">
        <v>545</v>
      </c>
      <c r="F396" s="3" t="s">
        <v>571</v>
      </c>
      <c r="G396" s="3" t="s">
        <v>578</v>
      </c>
      <c r="H396">
        <v>1</v>
      </c>
      <c r="I396" s="5">
        <v>19533.14</v>
      </c>
      <c r="J396">
        <v>0.1</v>
      </c>
      <c r="K396" s="5">
        <v>17579.830000000002</v>
      </c>
      <c r="L396" s="5">
        <v>11708.17</v>
      </c>
      <c r="M396" s="5">
        <v>5871.66</v>
      </c>
      <c r="N396">
        <f>YEAR(CleanedSalesData[[#This Row],[OrderDate]])</f>
        <v>2025</v>
      </c>
      <c r="O396">
        <f>MONTH(CleanedSalesData[[#This Row],[OrderDate]])</f>
        <v>5</v>
      </c>
      <c r="P396" t="str">
        <f>TEXT(CleanedSalesData[[#This Row],[OrderDate]], "yyyy-mm")</f>
        <v>2025-05</v>
      </c>
    </row>
    <row r="397" spans="1:16" x14ac:dyDescent="0.3">
      <c r="A397" s="3" t="s">
        <v>411</v>
      </c>
      <c r="B397" s="4">
        <v>45748</v>
      </c>
      <c r="C397" s="3" t="s">
        <v>518</v>
      </c>
      <c r="D397" s="3" t="s">
        <v>537</v>
      </c>
      <c r="E397" s="3" t="s">
        <v>561</v>
      </c>
      <c r="F397" s="3" t="s">
        <v>573</v>
      </c>
      <c r="G397" s="3" t="s">
        <v>580</v>
      </c>
      <c r="H397">
        <v>1</v>
      </c>
      <c r="I397" s="5">
        <v>13474.51</v>
      </c>
      <c r="J397">
        <v>0</v>
      </c>
      <c r="K397" s="5">
        <v>13474.51</v>
      </c>
      <c r="L397" s="5">
        <v>10429.27</v>
      </c>
      <c r="M397" s="5">
        <v>3045.24</v>
      </c>
      <c r="N397">
        <f>YEAR(CleanedSalesData[[#This Row],[OrderDate]])</f>
        <v>2025</v>
      </c>
      <c r="O397">
        <f>MONTH(CleanedSalesData[[#This Row],[OrderDate]])</f>
        <v>4</v>
      </c>
      <c r="P397" t="str">
        <f>TEXT(CleanedSalesData[[#This Row],[OrderDate]], "yyyy-mm")</f>
        <v>2025-04</v>
      </c>
    </row>
    <row r="398" spans="1:16" x14ac:dyDescent="0.3">
      <c r="A398" s="3" t="s">
        <v>412</v>
      </c>
      <c r="B398" s="4">
        <v>45782</v>
      </c>
      <c r="C398" s="3" t="s">
        <v>516</v>
      </c>
      <c r="D398" s="3" t="s">
        <v>525</v>
      </c>
      <c r="E398" s="3" t="s">
        <v>542</v>
      </c>
      <c r="F398" s="3" t="s">
        <v>572</v>
      </c>
      <c r="G398" s="3" t="s">
        <v>583</v>
      </c>
      <c r="H398">
        <v>1</v>
      </c>
      <c r="I398" s="5">
        <v>867.51</v>
      </c>
      <c r="J398">
        <v>0</v>
      </c>
      <c r="K398" s="5">
        <v>867.51</v>
      </c>
      <c r="L398" s="5">
        <v>665.38</v>
      </c>
      <c r="M398" s="5">
        <v>202.13</v>
      </c>
      <c r="N398">
        <f>YEAR(CleanedSalesData[[#This Row],[OrderDate]])</f>
        <v>2025</v>
      </c>
      <c r="O398">
        <f>MONTH(CleanedSalesData[[#This Row],[OrderDate]])</f>
        <v>5</v>
      </c>
      <c r="P398" t="str">
        <f>TEXT(CleanedSalesData[[#This Row],[OrderDate]], "yyyy-mm")</f>
        <v>2025-05</v>
      </c>
    </row>
    <row r="399" spans="1:16" x14ac:dyDescent="0.3">
      <c r="A399" s="3" t="s">
        <v>413</v>
      </c>
      <c r="B399" s="4">
        <v>45830</v>
      </c>
      <c r="C399" s="3" t="s">
        <v>518</v>
      </c>
      <c r="D399" s="3" t="s">
        <v>524</v>
      </c>
      <c r="E399" s="3" t="s">
        <v>550</v>
      </c>
      <c r="F399" s="3" t="s">
        <v>572</v>
      </c>
      <c r="G399" s="3" t="s">
        <v>577</v>
      </c>
      <c r="H399">
        <v>1</v>
      </c>
      <c r="I399" s="5">
        <v>985.38</v>
      </c>
      <c r="J399">
        <v>0</v>
      </c>
      <c r="K399" s="5">
        <v>985.38</v>
      </c>
      <c r="L399" s="5">
        <v>677.94</v>
      </c>
      <c r="M399" s="5">
        <v>307.44</v>
      </c>
      <c r="N399">
        <f>YEAR(CleanedSalesData[[#This Row],[OrderDate]])</f>
        <v>2025</v>
      </c>
      <c r="O399">
        <f>MONTH(CleanedSalesData[[#This Row],[OrderDate]])</f>
        <v>6</v>
      </c>
      <c r="P399" t="str">
        <f>TEXT(CleanedSalesData[[#This Row],[OrderDate]], "yyyy-mm")</f>
        <v>2025-06</v>
      </c>
    </row>
    <row r="400" spans="1:16" x14ac:dyDescent="0.3">
      <c r="A400" s="3" t="s">
        <v>414</v>
      </c>
      <c r="B400" s="4">
        <v>45644</v>
      </c>
      <c r="C400" s="3" t="s">
        <v>517</v>
      </c>
      <c r="D400" s="3" t="s">
        <v>531</v>
      </c>
      <c r="E400" s="3" t="s">
        <v>563</v>
      </c>
      <c r="F400" s="3" t="s">
        <v>572</v>
      </c>
      <c r="G400" s="3" t="s">
        <v>583</v>
      </c>
      <c r="H400">
        <v>4</v>
      </c>
      <c r="I400" s="5">
        <v>100.82</v>
      </c>
      <c r="J400">
        <v>0</v>
      </c>
      <c r="K400" s="5">
        <v>403.28</v>
      </c>
      <c r="L400" s="5">
        <v>314.56</v>
      </c>
      <c r="M400" s="5">
        <v>88.72</v>
      </c>
      <c r="N400">
        <f>YEAR(CleanedSalesData[[#This Row],[OrderDate]])</f>
        <v>2024</v>
      </c>
      <c r="O400">
        <f>MONTH(CleanedSalesData[[#This Row],[OrderDate]])</f>
        <v>12</v>
      </c>
      <c r="P400" t="str">
        <f>TEXT(CleanedSalesData[[#This Row],[OrderDate]], "yyyy-mm")</f>
        <v>2024-12</v>
      </c>
    </row>
    <row r="401" spans="1:16" x14ac:dyDescent="0.3">
      <c r="A401" s="3" t="s">
        <v>415</v>
      </c>
      <c r="B401" s="4">
        <v>45322</v>
      </c>
      <c r="C401" s="3" t="s">
        <v>520</v>
      </c>
      <c r="D401" s="3" t="s">
        <v>528</v>
      </c>
      <c r="E401" s="3" t="s">
        <v>552</v>
      </c>
      <c r="F401" s="3" t="s">
        <v>573</v>
      </c>
      <c r="G401" s="3" t="s">
        <v>580</v>
      </c>
      <c r="H401">
        <v>2</v>
      </c>
      <c r="I401" s="5">
        <v>19637.37</v>
      </c>
      <c r="J401">
        <v>0</v>
      </c>
      <c r="K401" s="5">
        <v>39274.74</v>
      </c>
      <c r="L401" s="5">
        <v>26431.9</v>
      </c>
      <c r="M401" s="5">
        <v>12842.84</v>
      </c>
      <c r="N401">
        <f>YEAR(CleanedSalesData[[#This Row],[OrderDate]])</f>
        <v>2024</v>
      </c>
      <c r="O401">
        <f>MONTH(CleanedSalesData[[#This Row],[OrderDate]])</f>
        <v>1</v>
      </c>
      <c r="P401" t="str">
        <f>TEXT(CleanedSalesData[[#This Row],[OrderDate]], "yyyy-mm")</f>
        <v>2024-01</v>
      </c>
    </row>
    <row r="402" spans="1:16" x14ac:dyDescent="0.3">
      <c r="A402" s="3" t="s">
        <v>416</v>
      </c>
      <c r="B402" s="4">
        <v>45455</v>
      </c>
      <c r="C402" s="3" t="s">
        <v>516</v>
      </c>
      <c r="D402" s="3" t="s">
        <v>527</v>
      </c>
      <c r="E402" s="3" t="s">
        <v>546</v>
      </c>
      <c r="F402" s="3" t="s">
        <v>572</v>
      </c>
      <c r="G402" s="3" t="s">
        <v>587</v>
      </c>
      <c r="H402">
        <v>2</v>
      </c>
      <c r="I402" s="5">
        <v>1641.76</v>
      </c>
      <c r="J402">
        <v>0</v>
      </c>
      <c r="K402" s="5">
        <v>3283.52</v>
      </c>
      <c r="L402" s="5">
        <v>2968.3</v>
      </c>
      <c r="M402" s="5">
        <v>315.22000000000003</v>
      </c>
      <c r="N402">
        <f>YEAR(CleanedSalesData[[#This Row],[OrderDate]])</f>
        <v>2024</v>
      </c>
      <c r="O402">
        <f>MONTH(CleanedSalesData[[#This Row],[OrderDate]])</f>
        <v>6</v>
      </c>
      <c r="P402" t="str">
        <f>TEXT(CleanedSalesData[[#This Row],[OrderDate]], "yyyy-mm")</f>
        <v>2024-06</v>
      </c>
    </row>
    <row r="403" spans="1:16" x14ac:dyDescent="0.3">
      <c r="A403" s="3" t="s">
        <v>417</v>
      </c>
      <c r="B403" s="4">
        <v>45349</v>
      </c>
      <c r="C403" s="3" t="s">
        <v>518</v>
      </c>
      <c r="D403" s="3" t="s">
        <v>524</v>
      </c>
      <c r="E403" s="3" t="s">
        <v>541</v>
      </c>
      <c r="F403" s="3" t="s">
        <v>572</v>
      </c>
      <c r="G403" s="3" t="s">
        <v>583</v>
      </c>
      <c r="H403">
        <v>1</v>
      </c>
      <c r="I403" s="5">
        <v>393.4</v>
      </c>
      <c r="J403">
        <v>0</v>
      </c>
      <c r="K403" s="5">
        <v>393.4</v>
      </c>
      <c r="L403" s="5">
        <v>302.13</v>
      </c>
      <c r="M403" s="5">
        <v>91.27</v>
      </c>
      <c r="N403">
        <f>YEAR(CleanedSalesData[[#This Row],[OrderDate]])</f>
        <v>2024</v>
      </c>
      <c r="O403">
        <f>MONTH(CleanedSalesData[[#This Row],[OrderDate]])</f>
        <v>2</v>
      </c>
      <c r="P403" t="str">
        <f>TEXT(CleanedSalesData[[#This Row],[OrderDate]], "yyyy-mm")</f>
        <v>2024-02</v>
      </c>
    </row>
    <row r="404" spans="1:16" x14ac:dyDescent="0.3">
      <c r="A404" s="3" t="s">
        <v>418</v>
      </c>
      <c r="B404" s="4">
        <v>45659</v>
      </c>
      <c r="C404" s="3" t="s">
        <v>517</v>
      </c>
      <c r="D404" s="3" t="s">
        <v>536</v>
      </c>
      <c r="E404" s="3" t="s">
        <v>560</v>
      </c>
      <c r="F404" s="3" t="s">
        <v>573</v>
      </c>
      <c r="G404" s="3" t="s">
        <v>584</v>
      </c>
      <c r="H404">
        <v>1</v>
      </c>
      <c r="I404" s="5">
        <v>5268.35</v>
      </c>
      <c r="J404">
        <v>0</v>
      </c>
      <c r="K404" s="5">
        <v>5268.35</v>
      </c>
      <c r="L404" s="5">
        <v>3840.63</v>
      </c>
      <c r="M404" s="5">
        <v>1427.72</v>
      </c>
      <c r="N404">
        <f>YEAR(CleanedSalesData[[#This Row],[OrderDate]])</f>
        <v>2025</v>
      </c>
      <c r="O404">
        <f>MONTH(CleanedSalesData[[#This Row],[OrderDate]])</f>
        <v>1</v>
      </c>
      <c r="P404" t="str">
        <f>TEXT(CleanedSalesData[[#This Row],[OrderDate]], "yyyy-mm")</f>
        <v>2025-01</v>
      </c>
    </row>
    <row r="405" spans="1:16" x14ac:dyDescent="0.3">
      <c r="A405" s="3" t="s">
        <v>419</v>
      </c>
      <c r="B405" s="4">
        <v>45796</v>
      </c>
      <c r="C405" s="3" t="s">
        <v>517</v>
      </c>
      <c r="D405" s="3" t="s">
        <v>531</v>
      </c>
      <c r="E405" s="3" t="s">
        <v>551</v>
      </c>
      <c r="F405" s="3" t="s">
        <v>572</v>
      </c>
      <c r="G405" s="3" t="s">
        <v>588</v>
      </c>
      <c r="H405">
        <v>4</v>
      </c>
      <c r="I405" s="5">
        <v>226</v>
      </c>
      <c r="J405">
        <v>0</v>
      </c>
      <c r="K405" s="5">
        <v>904</v>
      </c>
      <c r="L405" s="5">
        <v>607.49</v>
      </c>
      <c r="M405" s="5">
        <v>296.51</v>
      </c>
      <c r="N405">
        <f>YEAR(CleanedSalesData[[#This Row],[OrderDate]])</f>
        <v>2025</v>
      </c>
      <c r="O405">
        <f>MONTH(CleanedSalesData[[#This Row],[OrderDate]])</f>
        <v>5</v>
      </c>
      <c r="P405" t="str">
        <f>TEXT(CleanedSalesData[[#This Row],[OrderDate]], "yyyy-mm")</f>
        <v>2025-05</v>
      </c>
    </row>
    <row r="406" spans="1:16" x14ac:dyDescent="0.3">
      <c r="A406" s="3" t="s">
        <v>420</v>
      </c>
      <c r="B406" s="4">
        <v>45516</v>
      </c>
      <c r="C406" s="3" t="s">
        <v>516</v>
      </c>
      <c r="D406" s="3" t="s">
        <v>522</v>
      </c>
      <c r="E406" s="3" t="s">
        <v>539</v>
      </c>
      <c r="F406" s="3" t="s">
        <v>572</v>
      </c>
      <c r="G406" s="3" t="s">
        <v>587</v>
      </c>
      <c r="H406">
        <v>1</v>
      </c>
      <c r="I406" s="5">
        <v>442.86</v>
      </c>
      <c r="J406">
        <v>0.15</v>
      </c>
      <c r="K406" s="5">
        <v>376.43</v>
      </c>
      <c r="L406" s="5">
        <v>344.81</v>
      </c>
      <c r="M406" s="5">
        <v>31.62</v>
      </c>
      <c r="N406">
        <f>YEAR(CleanedSalesData[[#This Row],[OrderDate]])</f>
        <v>2024</v>
      </c>
      <c r="O406">
        <f>MONTH(CleanedSalesData[[#This Row],[OrderDate]])</f>
        <v>8</v>
      </c>
      <c r="P406" t="str">
        <f>TEXT(CleanedSalesData[[#This Row],[OrderDate]], "yyyy-mm")</f>
        <v>2024-08</v>
      </c>
    </row>
    <row r="407" spans="1:16" x14ac:dyDescent="0.3">
      <c r="A407" s="3" t="s">
        <v>421</v>
      </c>
      <c r="B407" s="4">
        <v>45473</v>
      </c>
      <c r="C407" s="3" t="s">
        <v>520</v>
      </c>
      <c r="D407" s="3" t="s">
        <v>528</v>
      </c>
      <c r="E407" s="3" t="s">
        <v>547</v>
      </c>
      <c r="F407" s="3" t="s">
        <v>571</v>
      </c>
      <c r="G407" s="3" t="s">
        <v>579</v>
      </c>
      <c r="H407">
        <v>5</v>
      </c>
      <c r="I407" s="5">
        <v>57261.62</v>
      </c>
      <c r="J407">
        <v>0.05</v>
      </c>
      <c r="K407" s="5">
        <v>271992.7</v>
      </c>
      <c r="L407" s="5">
        <v>189850.9</v>
      </c>
      <c r="M407" s="5">
        <v>82141.8</v>
      </c>
      <c r="N407">
        <f>YEAR(CleanedSalesData[[#This Row],[OrderDate]])</f>
        <v>2024</v>
      </c>
      <c r="O407">
        <f>MONTH(CleanedSalesData[[#This Row],[OrderDate]])</f>
        <v>6</v>
      </c>
      <c r="P407" t="str">
        <f>TEXT(CleanedSalesData[[#This Row],[OrderDate]], "yyyy-mm")</f>
        <v>2024-06</v>
      </c>
    </row>
    <row r="408" spans="1:16" x14ac:dyDescent="0.3">
      <c r="A408" s="3" t="s">
        <v>422</v>
      </c>
      <c r="B408" s="4">
        <v>45830</v>
      </c>
      <c r="C408" s="3" t="s">
        <v>520</v>
      </c>
      <c r="D408" s="3" t="s">
        <v>528</v>
      </c>
      <c r="E408" s="3" t="s">
        <v>552</v>
      </c>
      <c r="F408" s="3" t="s">
        <v>573</v>
      </c>
      <c r="G408" s="3" t="s">
        <v>581</v>
      </c>
      <c r="H408">
        <v>1</v>
      </c>
      <c r="I408" s="5">
        <v>15478.38</v>
      </c>
      <c r="J408">
        <v>0</v>
      </c>
      <c r="K408" s="5">
        <v>15478.38</v>
      </c>
      <c r="L408" s="5">
        <v>10432.43</v>
      </c>
      <c r="M408" s="5">
        <v>5045.95</v>
      </c>
      <c r="N408">
        <f>YEAR(CleanedSalesData[[#This Row],[OrderDate]])</f>
        <v>2025</v>
      </c>
      <c r="O408">
        <f>MONTH(CleanedSalesData[[#This Row],[OrderDate]])</f>
        <v>6</v>
      </c>
      <c r="P408" t="str">
        <f>TEXT(CleanedSalesData[[#This Row],[OrderDate]], "yyyy-mm")</f>
        <v>2025-06</v>
      </c>
    </row>
    <row r="409" spans="1:16" x14ac:dyDescent="0.3">
      <c r="A409" s="3" t="s">
        <v>423</v>
      </c>
      <c r="B409" s="4">
        <v>45622</v>
      </c>
      <c r="C409" s="3" t="s">
        <v>518</v>
      </c>
      <c r="D409" s="3" t="s">
        <v>537</v>
      </c>
      <c r="E409" s="3" t="s">
        <v>569</v>
      </c>
      <c r="F409" s="3" t="s">
        <v>573</v>
      </c>
      <c r="G409" s="3" t="s">
        <v>581</v>
      </c>
      <c r="H409">
        <v>3</v>
      </c>
      <c r="I409" s="5">
        <v>16931.150000000001</v>
      </c>
      <c r="J409">
        <v>0.15</v>
      </c>
      <c r="K409" s="5">
        <v>43174.43</v>
      </c>
      <c r="L409" s="5">
        <v>34280.5</v>
      </c>
      <c r="M409" s="5">
        <v>8893.93</v>
      </c>
      <c r="N409">
        <f>YEAR(CleanedSalesData[[#This Row],[OrderDate]])</f>
        <v>2024</v>
      </c>
      <c r="O409">
        <f>MONTH(CleanedSalesData[[#This Row],[OrderDate]])</f>
        <v>11</v>
      </c>
      <c r="P409" t="str">
        <f>TEXT(CleanedSalesData[[#This Row],[OrderDate]], "yyyy-mm")</f>
        <v>2024-11</v>
      </c>
    </row>
    <row r="410" spans="1:16" x14ac:dyDescent="0.3">
      <c r="A410" s="3" t="s">
        <v>424</v>
      </c>
      <c r="B410" s="4">
        <v>45657</v>
      </c>
      <c r="C410" s="3" t="s">
        <v>518</v>
      </c>
      <c r="D410" s="3" t="s">
        <v>524</v>
      </c>
      <c r="E410" s="3" t="s">
        <v>550</v>
      </c>
      <c r="F410" s="3" t="s">
        <v>572</v>
      </c>
      <c r="G410" s="3" t="s">
        <v>577</v>
      </c>
      <c r="H410">
        <v>1</v>
      </c>
      <c r="I410" s="5">
        <v>1481.29</v>
      </c>
      <c r="J410">
        <v>0</v>
      </c>
      <c r="K410" s="5">
        <v>1481.29</v>
      </c>
      <c r="L410" s="5">
        <v>1229.47</v>
      </c>
      <c r="M410" s="5">
        <v>251.82</v>
      </c>
      <c r="N410">
        <f>YEAR(CleanedSalesData[[#This Row],[OrderDate]])</f>
        <v>2024</v>
      </c>
      <c r="O410">
        <f>MONTH(CleanedSalesData[[#This Row],[OrderDate]])</f>
        <v>12</v>
      </c>
      <c r="P410" t="str">
        <f>TEXT(CleanedSalesData[[#This Row],[OrderDate]], "yyyy-mm")</f>
        <v>2024-12</v>
      </c>
    </row>
    <row r="411" spans="1:16" x14ac:dyDescent="0.3">
      <c r="A411" s="3" t="s">
        <v>425</v>
      </c>
      <c r="B411" s="4">
        <v>45473</v>
      </c>
      <c r="C411" s="3" t="s">
        <v>516</v>
      </c>
      <c r="D411" s="3" t="s">
        <v>522</v>
      </c>
      <c r="E411" s="3" t="s">
        <v>539</v>
      </c>
      <c r="F411" s="3" t="s">
        <v>571</v>
      </c>
      <c r="G411" s="3" t="s">
        <v>579</v>
      </c>
      <c r="H411">
        <v>1</v>
      </c>
      <c r="I411" s="5">
        <v>27502.7</v>
      </c>
      <c r="J411">
        <v>0</v>
      </c>
      <c r="K411" s="5">
        <v>27502.7</v>
      </c>
      <c r="L411" s="5">
        <v>23349.79</v>
      </c>
      <c r="M411" s="5">
        <v>4152.91</v>
      </c>
      <c r="N411">
        <f>YEAR(CleanedSalesData[[#This Row],[OrderDate]])</f>
        <v>2024</v>
      </c>
      <c r="O411">
        <f>MONTH(CleanedSalesData[[#This Row],[OrderDate]])</f>
        <v>6</v>
      </c>
      <c r="P411" t="str">
        <f>TEXT(CleanedSalesData[[#This Row],[OrderDate]], "yyyy-mm")</f>
        <v>2024-06</v>
      </c>
    </row>
    <row r="412" spans="1:16" x14ac:dyDescent="0.3">
      <c r="A412" s="3" t="s">
        <v>426</v>
      </c>
      <c r="B412" s="4">
        <v>45518</v>
      </c>
      <c r="C412" s="3" t="s">
        <v>517</v>
      </c>
      <c r="D412" s="3" t="s">
        <v>536</v>
      </c>
      <c r="E412" s="3" t="s">
        <v>560</v>
      </c>
      <c r="F412" s="3" t="s">
        <v>571</v>
      </c>
      <c r="G412" s="3" t="s">
        <v>578</v>
      </c>
      <c r="H412">
        <v>2</v>
      </c>
      <c r="I412" s="5">
        <v>60391.44</v>
      </c>
      <c r="J412">
        <v>0</v>
      </c>
      <c r="K412" s="5">
        <v>120782.88</v>
      </c>
      <c r="L412" s="5">
        <v>114622.95</v>
      </c>
      <c r="M412" s="5">
        <v>6159.93</v>
      </c>
      <c r="N412">
        <f>YEAR(CleanedSalesData[[#This Row],[OrderDate]])</f>
        <v>2024</v>
      </c>
      <c r="O412">
        <f>MONTH(CleanedSalesData[[#This Row],[OrderDate]])</f>
        <v>8</v>
      </c>
      <c r="P412" t="str">
        <f>TEXT(CleanedSalesData[[#This Row],[OrderDate]], "yyyy-mm")</f>
        <v>2024-08</v>
      </c>
    </row>
    <row r="413" spans="1:16" x14ac:dyDescent="0.3">
      <c r="A413" s="3" t="s">
        <v>427</v>
      </c>
      <c r="B413" s="4">
        <v>45619</v>
      </c>
      <c r="C413" s="3" t="s">
        <v>518</v>
      </c>
      <c r="D413" s="3" t="s">
        <v>524</v>
      </c>
      <c r="E413" s="3" t="s">
        <v>550</v>
      </c>
      <c r="F413" s="3" t="s">
        <v>573</v>
      </c>
      <c r="G413" s="3" t="s">
        <v>580</v>
      </c>
      <c r="H413">
        <v>1</v>
      </c>
      <c r="I413" s="5">
        <v>12272.49</v>
      </c>
      <c r="J413">
        <v>0</v>
      </c>
      <c r="K413" s="5">
        <v>12272.49</v>
      </c>
      <c r="L413" s="5">
        <v>10198.44</v>
      </c>
      <c r="M413" s="5">
        <v>2074.0500000000002</v>
      </c>
      <c r="N413">
        <f>YEAR(CleanedSalesData[[#This Row],[OrderDate]])</f>
        <v>2024</v>
      </c>
      <c r="O413">
        <f>MONTH(CleanedSalesData[[#This Row],[OrderDate]])</f>
        <v>11</v>
      </c>
      <c r="P413" t="str">
        <f>TEXT(CleanedSalesData[[#This Row],[OrderDate]], "yyyy-mm")</f>
        <v>2024-11</v>
      </c>
    </row>
    <row r="414" spans="1:16" x14ac:dyDescent="0.3">
      <c r="A414" s="3" t="s">
        <v>428</v>
      </c>
      <c r="B414" s="4">
        <v>45547</v>
      </c>
      <c r="C414" s="3" t="s">
        <v>516</v>
      </c>
      <c r="D414" s="3" t="s">
        <v>521</v>
      </c>
      <c r="E414" s="3" t="s">
        <v>568</v>
      </c>
      <c r="F414" s="3" t="s">
        <v>571</v>
      </c>
      <c r="G414" s="3" t="s">
        <v>575</v>
      </c>
      <c r="H414">
        <v>1</v>
      </c>
      <c r="I414" s="5">
        <v>6707.35</v>
      </c>
      <c r="J414">
        <v>0</v>
      </c>
      <c r="K414" s="5">
        <v>6707.35</v>
      </c>
      <c r="L414" s="5">
        <v>4520.75</v>
      </c>
      <c r="M414" s="5">
        <v>2186.6</v>
      </c>
      <c r="N414">
        <f>YEAR(CleanedSalesData[[#This Row],[OrderDate]])</f>
        <v>2024</v>
      </c>
      <c r="O414">
        <f>MONTH(CleanedSalesData[[#This Row],[OrderDate]])</f>
        <v>9</v>
      </c>
      <c r="P414" t="str">
        <f>TEXT(CleanedSalesData[[#This Row],[OrderDate]], "yyyy-mm")</f>
        <v>2024-09</v>
      </c>
    </row>
    <row r="415" spans="1:16" x14ac:dyDescent="0.3">
      <c r="A415" s="3" t="s">
        <v>429</v>
      </c>
      <c r="B415" s="4">
        <v>45721</v>
      </c>
      <c r="C415" s="3" t="s">
        <v>518</v>
      </c>
      <c r="D415" s="3" t="s">
        <v>529</v>
      </c>
      <c r="E415" s="3" t="s">
        <v>553</v>
      </c>
      <c r="F415" s="3" t="s">
        <v>572</v>
      </c>
      <c r="G415" s="3" t="s">
        <v>577</v>
      </c>
      <c r="H415">
        <v>1</v>
      </c>
      <c r="I415" s="5">
        <v>1114.75</v>
      </c>
      <c r="J415">
        <v>0.1</v>
      </c>
      <c r="K415" s="5">
        <v>1003.27</v>
      </c>
      <c r="L415" s="5">
        <v>848.77</v>
      </c>
      <c r="M415" s="5">
        <v>154.5</v>
      </c>
      <c r="N415">
        <f>YEAR(CleanedSalesData[[#This Row],[OrderDate]])</f>
        <v>2025</v>
      </c>
      <c r="O415">
        <f>MONTH(CleanedSalesData[[#This Row],[OrderDate]])</f>
        <v>3</v>
      </c>
      <c r="P415" t="str">
        <f>TEXT(CleanedSalesData[[#This Row],[OrderDate]], "yyyy-mm")</f>
        <v>2025-03</v>
      </c>
    </row>
    <row r="416" spans="1:16" x14ac:dyDescent="0.3">
      <c r="A416" s="3" t="s">
        <v>430</v>
      </c>
      <c r="B416" s="4">
        <v>45883</v>
      </c>
      <c r="C416" s="3" t="s">
        <v>518</v>
      </c>
      <c r="D416" s="3" t="s">
        <v>537</v>
      </c>
      <c r="E416" s="3" t="s">
        <v>569</v>
      </c>
      <c r="F416" s="3" t="s">
        <v>571</v>
      </c>
      <c r="G416" s="3" t="s">
        <v>575</v>
      </c>
      <c r="H416">
        <v>2</v>
      </c>
      <c r="I416" s="5">
        <v>25707.96</v>
      </c>
      <c r="J416">
        <v>0</v>
      </c>
      <c r="K416" s="5">
        <v>51415.92</v>
      </c>
      <c r="L416" s="5">
        <v>41852.559999999998</v>
      </c>
      <c r="M416" s="5">
        <v>9563.36</v>
      </c>
      <c r="N416">
        <f>YEAR(CleanedSalesData[[#This Row],[OrderDate]])</f>
        <v>2025</v>
      </c>
      <c r="O416">
        <f>MONTH(CleanedSalesData[[#This Row],[OrderDate]])</f>
        <v>8</v>
      </c>
      <c r="P416" t="str">
        <f>TEXT(CleanedSalesData[[#This Row],[OrderDate]], "yyyy-mm")</f>
        <v>2025-08</v>
      </c>
    </row>
    <row r="417" spans="1:16" x14ac:dyDescent="0.3">
      <c r="A417" s="3" t="s">
        <v>431</v>
      </c>
      <c r="B417" s="4">
        <v>45399</v>
      </c>
      <c r="C417" s="3" t="s">
        <v>516</v>
      </c>
      <c r="D417" s="3" t="s">
        <v>521</v>
      </c>
      <c r="E417" s="3" t="s">
        <v>538</v>
      </c>
      <c r="F417" s="3" t="s">
        <v>572</v>
      </c>
      <c r="G417" s="3" t="s">
        <v>583</v>
      </c>
      <c r="H417">
        <v>1</v>
      </c>
      <c r="I417" s="5">
        <v>1477.37</v>
      </c>
      <c r="J417">
        <v>0</v>
      </c>
      <c r="K417" s="5">
        <v>1477.37</v>
      </c>
      <c r="L417" s="5">
        <v>1202.58</v>
      </c>
      <c r="M417" s="5">
        <v>274.79000000000002</v>
      </c>
      <c r="N417">
        <f>YEAR(CleanedSalesData[[#This Row],[OrderDate]])</f>
        <v>2024</v>
      </c>
      <c r="O417">
        <f>MONTH(CleanedSalesData[[#This Row],[OrderDate]])</f>
        <v>4</v>
      </c>
      <c r="P417" t="str">
        <f>TEXT(CleanedSalesData[[#This Row],[OrderDate]], "yyyy-mm")</f>
        <v>2024-04</v>
      </c>
    </row>
    <row r="418" spans="1:16" x14ac:dyDescent="0.3">
      <c r="A418" s="3" t="s">
        <v>432</v>
      </c>
      <c r="B418" s="4">
        <v>45387</v>
      </c>
      <c r="C418" s="3" t="s">
        <v>520</v>
      </c>
      <c r="D418" s="3" t="s">
        <v>535</v>
      </c>
      <c r="E418" s="3" t="s">
        <v>565</v>
      </c>
      <c r="F418" s="3" t="s">
        <v>572</v>
      </c>
      <c r="G418" s="3" t="s">
        <v>583</v>
      </c>
      <c r="H418">
        <v>1</v>
      </c>
      <c r="I418" s="5">
        <v>1234.27</v>
      </c>
      <c r="J418">
        <v>0</v>
      </c>
      <c r="K418" s="5">
        <v>1234.27</v>
      </c>
      <c r="L418" s="5">
        <v>1107.1400000000001</v>
      </c>
      <c r="M418" s="5">
        <v>127.13</v>
      </c>
      <c r="N418">
        <f>YEAR(CleanedSalesData[[#This Row],[OrderDate]])</f>
        <v>2024</v>
      </c>
      <c r="O418">
        <f>MONTH(CleanedSalesData[[#This Row],[OrderDate]])</f>
        <v>4</v>
      </c>
      <c r="P418" t="str">
        <f>TEXT(CleanedSalesData[[#This Row],[OrderDate]], "yyyy-mm")</f>
        <v>2024-04</v>
      </c>
    </row>
    <row r="419" spans="1:16" x14ac:dyDescent="0.3">
      <c r="A419" s="3" t="s">
        <v>433</v>
      </c>
      <c r="B419" s="4">
        <v>45346</v>
      </c>
      <c r="C419" s="3" t="s">
        <v>516</v>
      </c>
      <c r="D419" s="3" t="s">
        <v>521</v>
      </c>
      <c r="E419" s="3" t="s">
        <v>538</v>
      </c>
      <c r="F419" s="3" t="s">
        <v>571</v>
      </c>
      <c r="G419" s="3" t="s">
        <v>576</v>
      </c>
      <c r="H419">
        <v>1</v>
      </c>
      <c r="I419" s="5">
        <v>56684.15</v>
      </c>
      <c r="J419">
        <v>0</v>
      </c>
      <c r="K419" s="5">
        <v>56684.15</v>
      </c>
      <c r="L419" s="5">
        <v>46707.74</v>
      </c>
      <c r="M419" s="5">
        <v>9976.41</v>
      </c>
      <c r="N419">
        <f>YEAR(CleanedSalesData[[#This Row],[OrderDate]])</f>
        <v>2024</v>
      </c>
      <c r="O419">
        <f>MONTH(CleanedSalesData[[#This Row],[OrderDate]])</f>
        <v>2</v>
      </c>
      <c r="P419" t="str">
        <f>TEXT(CleanedSalesData[[#This Row],[OrderDate]], "yyyy-mm")</f>
        <v>2024-02</v>
      </c>
    </row>
    <row r="420" spans="1:16" x14ac:dyDescent="0.3">
      <c r="A420" s="3" t="s">
        <v>434</v>
      </c>
      <c r="B420" s="4">
        <v>45845</v>
      </c>
      <c r="C420" s="3" t="s">
        <v>520</v>
      </c>
      <c r="D420" s="3" t="s">
        <v>535</v>
      </c>
      <c r="E420" s="3" t="s">
        <v>559</v>
      </c>
      <c r="F420" s="3" t="s">
        <v>571</v>
      </c>
      <c r="G420" s="3" t="s">
        <v>575</v>
      </c>
      <c r="H420">
        <v>3</v>
      </c>
      <c r="I420" s="5">
        <v>6821.93</v>
      </c>
      <c r="J420">
        <v>0</v>
      </c>
      <c r="K420" s="5">
        <v>20465.79</v>
      </c>
      <c r="L420" s="5">
        <v>17211.73</v>
      </c>
      <c r="M420" s="5">
        <v>3254.06</v>
      </c>
      <c r="N420">
        <f>YEAR(CleanedSalesData[[#This Row],[OrderDate]])</f>
        <v>2025</v>
      </c>
      <c r="O420">
        <f>MONTH(CleanedSalesData[[#This Row],[OrderDate]])</f>
        <v>7</v>
      </c>
      <c r="P420" t="str">
        <f>TEXT(CleanedSalesData[[#This Row],[OrderDate]], "yyyy-mm")</f>
        <v>2025-07</v>
      </c>
    </row>
    <row r="421" spans="1:16" x14ac:dyDescent="0.3">
      <c r="A421" s="3" t="s">
        <v>435</v>
      </c>
      <c r="B421" s="4">
        <v>45794</v>
      </c>
      <c r="C421" s="3" t="s">
        <v>518</v>
      </c>
      <c r="D421" s="3" t="s">
        <v>537</v>
      </c>
      <c r="E421" s="3" t="s">
        <v>569</v>
      </c>
      <c r="F421" s="3" t="s">
        <v>571</v>
      </c>
      <c r="G421" s="3" t="s">
        <v>576</v>
      </c>
      <c r="H421">
        <v>1</v>
      </c>
      <c r="I421" s="5">
        <v>9747.3799999999992</v>
      </c>
      <c r="J421">
        <v>0</v>
      </c>
      <c r="K421" s="5">
        <v>9747.3799999999992</v>
      </c>
      <c r="L421" s="5">
        <v>7408.01</v>
      </c>
      <c r="M421" s="5">
        <v>2339.37</v>
      </c>
      <c r="N421">
        <f>YEAR(CleanedSalesData[[#This Row],[OrderDate]])</f>
        <v>2025</v>
      </c>
      <c r="O421">
        <f>MONTH(CleanedSalesData[[#This Row],[OrderDate]])</f>
        <v>5</v>
      </c>
      <c r="P421" t="str">
        <f>TEXT(CleanedSalesData[[#This Row],[OrderDate]], "yyyy-mm")</f>
        <v>2025-05</v>
      </c>
    </row>
    <row r="422" spans="1:16" x14ac:dyDescent="0.3">
      <c r="A422" s="3" t="s">
        <v>436</v>
      </c>
      <c r="B422" s="4">
        <v>45783</v>
      </c>
      <c r="C422" s="3" t="s">
        <v>518</v>
      </c>
      <c r="D422" s="3" t="s">
        <v>537</v>
      </c>
      <c r="E422" s="3" t="s">
        <v>561</v>
      </c>
      <c r="F422" s="3" t="s">
        <v>571</v>
      </c>
      <c r="G422" s="3" t="s">
        <v>574</v>
      </c>
      <c r="H422">
        <v>1</v>
      </c>
      <c r="I422" s="5">
        <v>52140.68</v>
      </c>
      <c r="J422">
        <v>0</v>
      </c>
      <c r="K422" s="5">
        <v>52140.68</v>
      </c>
      <c r="L422" s="5">
        <v>39157.65</v>
      </c>
      <c r="M422" s="5">
        <v>12983.03</v>
      </c>
      <c r="N422">
        <f>YEAR(CleanedSalesData[[#This Row],[OrderDate]])</f>
        <v>2025</v>
      </c>
      <c r="O422">
        <f>MONTH(CleanedSalesData[[#This Row],[OrderDate]])</f>
        <v>5</v>
      </c>
      <c r="P422" t="str">
        <f>TEXT(CleanedSalesData[[#This Row],[OrderDate]], "yyyy-mm")</f>
        <v>2025-05</v>
      </c>
    </row>
    <row r="423" spans="1:16" x14ac:dyDescent="0.3">
      <c r="A423" s="3" t="s">
        <v>437</v>
      </c>
      <c r="B423" s="4">
        <v>45776</v>
      </c>
      <c r="C423" s="3" t="s">
        <v>516</v>
      </c>
      <c r="D423" s="3" t="s">
        <v>521</v>
      </c>
      <c r="E423" s="3" t="s">
        <v>568</v>
      </c>
      <c r="F423" s="3" t="s">
        <v>572</v>
      </c>
      <c r="G423" s="3" t="s">
        <v>586</v>
      </c>
      <c r="H423">
        <v>1</v>
      </c>
      <c r="I423" s="5">
        <v>1795.01</v>
      </c>
      <c r="J423">
        <v>0</v>
      </c>
      <c r="K423" s="5">
        <v>1795.01</v>
      </c>
      <c r="L423" s="5">
        <v>1188.3</v>
      </c>
      <c r="M423" s="5">
        <v>606.71</v>
      </c>
      <c r="N423">
        <f>YEAR(CleanedSalesData[[#This Row],[OrderDate]])</f>
        <v>2025</v>
      </c>
      <c r="O423">
        <f>MONTH(CleanedSalesData[[#This Row],[OrderDate]])</f>
        <v>4</v>
      </c>
      <c r="P423" t="str">
        <f>TEXT(CleanedSalesData[[#This Row],[OrderDate]], "yyyy-mm")</f>
        <v>2025-04</v>
      </c>
    </row>
    <row r="424" spans="1:16" x14ac:dyDescent="0.3">
      <c r="A424" s="3" t="s">
        <v>438</v>
      </c>
      <c r="B424" s="4">
        <v>45849</v>
      </c>
      <c r="C424" s="3" t="s">
        <v>519</v>
      </c>
      <c r="D424" s="3" t="s">
        <v>533</v>
      </c>
      <c r="E424" s="3" t="s">
        <v>555</v>
      </c>
      <c r="F424" s="3" t="s">
        <v>572</v>
      </c>
      <c r="G424" s="3" t="s">
        <v>577</v>
      </c>
      <c r="H424">
        <v>1</v>
      </c>
      <c r="I424" s="5">
        <v>413.84</v>
      </c>
      <c r="J424">
        <v>0.1</v>
      </c>
      <c r="K424" s="5">
        <v>372.46</v>
      </c>
      <c r="L424" s="5">
        <v>307.64999999999998</v>
      </c>
      <c r="M424" s="5">
        <v>64.81</v>
      </c>
      <c r="N424">
        <f>YEAR(CleanedSalesData[[#This Row],[OrderDate]])</f>
        <v>2025</v>
      </c>
      <c r="O424">
        <f>MONTH(CleanedSalesData[[#This Row],[OrderDate]])</f>
        <v>7</v>
      </c>
      <c r="P424" t="str">
        <f>TEXT(CleanedSalesData[[#This Row],[OrderDate]], "yyyy-mm")</f>
        <v>2025-07</v>
      </c>
    </row>
    <row r="425" spans="1:16" x14ac:dyDescent="0.3">
      <c r="A425" s="3" t="s">
        <v>439</v>
      </c>
      <c r="B425" s="4">
        <v>45768</v>
      </c>
      <c r="C425" s="3" t="s">
        <v>520</v>
      </c>
      <c r="D425" s="3" t="s">
        <v>528</v>
      </c>
      <c r="E425" s="3" t="s">
        <v>552</v>
      </c>
      <c r="F425" s="3" t="s">
        <v>573</v>
      </c>
      <c r="G425" s="3" t="s">
        <v>582</v>
      </c>
      <c r="H425">
        <v>1</v>
      </c>
      <c r="I425" s="5">
        <v>5476.01</v>
      </c>
      <c r="J425">
        <v>0</v>
      </c>
      <c r="K425" s="5">
        <v>5476.01</v>
      </c>
      <c r="L425" s="5">
        <v>3564.88</v>
      </c>
      <c r="M425" s="5">
        <v>1911.13</v>
      </c>
      <c r="N425">
        <f>YEAR(CleanedSalesData[[#This Row],[OrderDate]])</f>
        <v>2025</v>
      </c>
      <c r="O425">
        <f>MONTH(CleanedSalesData[[#This Row],[OrderDate]])</f>
        <v>4</v>
      </c>
      <c r="P425" t="str">
        <f>TEXT(CleanedSalesData[[#This Row],[OrderDate]], "yyyy-mm")</f>
        <v>2025-04</v>
      </c>
    </row>
    <row r="426" spans="1:16" x14ac:dyDescent="0.3">
      <c r="A426" s="3" t="s">
        <v>440</v>
      </c>
      <c r="B426" s="4">
        <v>45391</v>
      </c>
      <c r="C426" s="3" t="s">
        <v>516</v>
      </c>
      <c r="D426" s="3" t="s">
        <v>521</v>
      </c>
      <c r="E426" s="3" t="s">
        <v>568</v>
      </c>
      <c r="F426" s="3" t="s">
        <v>573</v>
      </c>
      <c r="G426" s="3" t="s">
        <v>585</v>
      </c>
      <c r="H426">
        <v>1</v>
      </c>
      <c r="I426" s="5">
        <v>14732.84</v>
      </c>
      <c r="J426">
        <v>0</v>
      </c>
      <c r="K426" s="5">
        <v>14732.84</v>
      </c>
      <c r="L426" s="5">
        <v>11359.02</v>
      </c>
      <c r="M426" s="5">
        <v>3373.82</v>
      </c>
      <c r="N426">
        <f>YEAR(CleanedSalesData[[#This Row],[OrderDate]])</f>
        <v>2024</v>
      </c>
      <c r="O426">
        <f>MONTH(CleanedSalesData[[#This Row],[OrderDate]])</f>
        <v>4</v>
      </c>
      <c r="P426" t="str">
        <f>TEXT(CleanedSalesData[[#This Row],[OrderDate]], "yyyy-mm")</f>
        <v>2024-04</v>
      </c>
    </row>
    <row r="427" spans="1:16" x14ac:dyDescent="0.3">
      <c r="A427" s="3" t="s">
        <v>441</v>
      </c>
      <c r="B427" s="4">
        <v>45827</v>
      </c>
      <c r="C427" s="3" t="s">
        <v>519</v>
      </c>
      <c r="D427" s="3" t="s">
        <v>534</v>
      </c>
      <c r="E427" s="3" t="s">
        <v>566</v>
      </c>
      <c r="F427" s="3" t="s">
        <v>572</v>
      </c>
      <c r="G427" s="3" t="s">
        <v>577</v>
      </c>
      <c r="H427">
        <v>1</v>
      </c>
      <c r="I427" s="5">
        <v>203.96</v>
      </c>
      <c r="J427">
        <v>0</v>
      </c>
      <c r="K427" s="5">
        <v>203.96</v>
      </c>
      <c r="L427" s="5">
        <v>147.87</v>
      </c>
      <c r="M427" s="5">
        <v>56.09</v>
      </c>
      <c r="N427">
        <f>YEAR(CleanedSalesData[[#This Row],[OrderDate]])</f>
        <v>2025</v>
      </c>
      <c r="O427">
        <f>MONTH(CleanedSalesData[[#This Row],[OrderDate]])</f>
        <v>6</v>
      </c>
      <c r="P427" t="str">
        <f>TEXT(CleanedSalesData[[#This Row],[OrderDate]], "yyyy-mm")</f>
        <v>2025-06</v>
      </c>
    </row>
    <row r="428" spans="1:16" x14ac:dyDescent="0.3">
      <c r="A428" s="3" t="s">
        <v>442</v>
      </c>
      <c r="B428" s="4">
        <v>45327</v>
      </c>
      <c r="C428" s="3" t="s">
        <v>517</v>
      </c>
      <c r="D428" s="3" t="s">
        <v>523</v>
      </c>
      <c r="E428" s="3" t="s">
        <v>544</v>
      </c>
      <c r="F428" s="3" t="s">
        <v>572</v>
      </c>
      <c r="G428" s="3" t="s">
        <v>583</v>
      </c>
      <c r="H428">
        <v>1</v>
      </c>
      <c r="I428" s="5">
        <v>1900.67</v>
      </c>
      <c r="J428">
        <v>0.05</v>
      </c>
      <c r="K428" s="5">
        <v>1805.64</v>
      </c>
      <c r="L428" s="5">
        <v>1229.6400000000001</v>
      </c>
      <c r="M428" s="5">
        <v>576</v>
      </c>
      <c r="N428">
        <f>YEAR(CleanedSalesData[[#This Row],[OrderDate]])</f>
        <v>2024</v>
      </c>
      <c r="O428">
        <f>MONTH(CleanedSalesData[[#This Row],[OrderDate]])</f>
        <v>2</v>
      </c>
      <c r="P428" t="str">
        <f>TEXT(CleanedSalesData[[#This Row],[OrderDate]], "yyyy-mm")</f>
        <v>2024-02</v>
      </c>
    </row>
    <row r="429" spans="1:16" x14ac:dyDescent="0.3">
      <c r="A429" s="3" t="s">
        <v>443</v>
      </c>
      <c r="B429" s="4">
        <v>45489</v>
      </c>
      <c r="C429" s="3" t="s">
        <v>518</v>
      </c>
      <c r="D429" s="3" t="s">
        <v>537</v>
      </c>
      <c r="E429" s="3" t="s">
        <v>569</v>
      </c>
      <c r="F429" s="3" t="s">
        <v>571</v>
      </c>
      <c r="G429" s="3" t="s">
        <v>576</v>
      </c>
      <c r="H429">
        <v>1</v>
      </c>
      <c r="I429" s="5">
        <v>18547.78</v>
      </c>
      <c r="J429">
        <v>0</v>
      </c>
      <c r="K429" s="5">
        <v>18547.78</v>
      </c>
      <c r="L429" s="5">
        <v>16563.169999999998</v>
      </c>
      <c r="M429" s="5">
        <v>1984.61</v>
      </c>
      <c r="N429">
        <f>YEAR(CleanedSalesData[[#This Row],[OrderDate]])</f>
        <v>2024</v>
      </c>
      <c r="O429">
        <f>MONTH(CleanedSalesData[[#This Row],[OrderDate]])</f>
        <v>7</v>
      </c>
      <c r="P429" t="str">
        <f>TEXT(CleanedSalesData[[#This Row],[OrderDate]], "yyyy-mm")</f>
        <v>2024-07</v>
      </c>
    </row>
    <row r="430" spans="1:16" x14ac:dyDescent="0.3">
      <c r="A430" s="3" t="s">
        <v>444</v>
      </c>
      <c r="B430" s="4">
        <v>45443</v>
      </c>
      <c r="C430" s="3" t="s">
        <v>517</v>
      </c>
      <c r="D430" s="3" t="s">
        <v>531</v>
      </c>
      <c r="E430" s="3" t="s">
        <v>563</v>
      </c>
      <c r="F430" s="3" t="s">
        <v>573</v>
      </c>
      <c r="G430" s="3" t="s">
        <v>582</v>
      </c>
      <c r="H430">
        <v>1</v>
      </c>
      <c r="I430" s="5">
        <v>4001.63</v>
      </c>
      <c r="J430">
        <v>0</v>
      </c>
      <c r="K430" s="5">
        <v>4001.63</v>
      </c>
      <c r="L430" s="5">
        <v>3233.32</v>
      </c>
      <c r="M430" s="5">
        <v>768.31</v>
      </c>
      <c r="N430">
        <f>YEAR(CleanedSalesData[[#This Row],[OrderDate]])</f>
        <v>2024</v>
      </c>
      <c r="O430">
        <f>MONTH(CleanedSalesData[[#This Row],[OrderDate]])</f>
        <v>5</v>
      </c>
      <c r="P430" t="str">
        <f>TEXT(CleanedSalesData[[#This Row],[OrderDate]], "yyyy-mm")</f>
        <v>2024-05</v>
      </c>
    </row>
    <row r="431" spans="1:16" x14ac:dyDescent="0.3">
      <c r="A431" s="3" t="s">
        <v>445</v>
      </c>
      <c r="B431" s="4">
        <v>45857</v>
      </c>
      <c r="C431" s="3" t="s">
        <v>520</v>
      </c>
      <c r="D431" s="3" t="s">
        <v>535</v>
      </c>
      <c r="E431" s="3" t="s">
        <v>559</v>
      </c>
      <c r="F431" s="3" t="s">
        <v>571</v>
      </c>
      <c r="G431" s="3" t="s">
        <v>579</v>
      </c>
      <c r="H431">
        <v>1</v>
      </c>
      <c r="I431" s="5">
        <v>48243.360000000001</v>
      </c>
      <c r="J431">
        <v>0</v>
      </c>
      <c r="K431" s="5">
        <v>48243.360000000001</v>
      </c>
      <c r="L431" s="5">
        <v>44866.32</v>
      </c>
      <c r="M431" s="5">
        <v>3377.04</v>
      </c>
      <c r="N431">
        <f>YEAR(CleanedSalesData[[#This Row],[OrderDate]])</f>
        <v>2025</v>
      </c>
      <c r="O431">
        <f>MONTH(CleanedSalesData[[#This Row],[OrderDate]])</f>
        <v>7</v>
      </c>
      <c r="P431" t="str">
        <f>TEXT(CleanedSalesData[[#This Row],[OrderDate]], "yyyy-mm")</f>
        <v>2025-07</v>
      </c>
    </row>
    <row r="432" spans="1:16" x14ac:dyDescent="0.3">
      <c r="A432" s="3" t="s">
        <v>446</v>
      </c>
      <c r="B432" s="4">
        <v>45407</v>
      </c>
      <c r="C432" s="3" t="s">
        <v>519</v>
      </c>
      <c r="D432" s="3" t="s">
        <v>533</v>
      </c>
      <c r="E432" s="3" t="s">
        <v>570</v>
      </c>
      <c r="F432" s="3" t="s">
        <v>573</v>
      </c>
      <c r="G432" s="3" t="s">
        <v>584</v>
      </c>
      <c r="H432">
        <v>2</v>
      </c>
      <c r="I432" s="5">
        <v>15401.57</v>
      </c>
      <c r="J432">
        <v>0</v>
      </c>
      <c r="K432" s="5">
        <v>30803.14</v>
      </c>
      <c r="L432" s="5">
        <v>25073.759999999998</v>
      </c>
      <c r="M432" s="5">
        <v>5729.38</v>
      </c>
      <c r="N432">
        <f>YEAR(CleanedSalesData[[#This Row],[OrderDate]])</f>
        <v>2024</v>
      </c>
      <c r="O432">
        <f>MONTH(CleanedSalesData[[#This Row],[OrderDate]])</f>
        <v>4</v>
      </c>
      <c r="P432" t="str">
        <f>TEXT(CleanedSalesData[[#This Row],[OrderDate]], "yyyy-mm")</f>
        <v>2024-04</v>
      </c>
    </row>
    <row r="433" spans="1:16" x14ac:dyDescent="0.3">
      <c r="A433" s="3" t="s">
        <v>447</v>
      </c>
      <c r="B433" s="4">
        <v>45394</v>
      </c>
      <c r="C433" s="3" t="s">
        <v>516</v>
      </c>
      <c r="D433" s="3" t="s">
        <v>525</v>
      </c>
      <c r="E433" s="3" t="s">
        <v>542</v>
      </c>
      <c r="F433" s="3" t="s">
        <v>573</v>
      </c>
      <c r="G433" s="3" t="s">
        <v>580</v>
      </c>
      <c r="H433">
        <v>1</v>
      </c>
      <c r="I433" s="5">
        <v>22191.55</v>
      </c>
      <c r="J433">
        <v>0</v>
      </c>
      <c r="K433" s="5">
        <v>22191.55</v>
      </c>
      <c r="L433" s="5">
        <v>18152.689999999999</v>
      </c>
      <c r="M433" s="5">
        <v>4038.86</v>
      </c>
      <c r="N433">
        <f>YEAR(CleanedSalesData[[#This Row],[OrderDate]])</f>
        <v>2024</v>
      </c>
      <c r="O433">
        <f>MONTH(CleanedSalesData[[#This Row],[OrderDate]])</f>
        <v>4</v>
      </c>
      <c r="P433" t="str">
        <f>TEXT(CleanedSalesData[[#This Row],[OrderDate]], "yyyy-mm")</f>
        <v>2024-04</v>
      </c>
    </row>
    <row r="434" spans="1:16" x14ac:dyDescent="0.3">
      <c r="A434" s="3" t="s">
        <v>448</v>
      </c>
      <c r="B434" s="4">
        <v>45789</v>
      </c>
      <c r="C434" s="3" t="s">
        <v>517</v>
      </c>
      <c r="D434" s="3" t="s">
        <v>530</v>
      </c>
      <c r="E434" s="3" t="s">
        <v>567</v>
      </c>
      <c r="F434" s="3" t="s">
        <v>571</v>
      </c>
      <c r="G434" s="3" t="s">
        <v>578</v>
      </c>
      <c r="H434">
        <v>1</v>
      </c>
      <c r="I434" s="5">
        <v>34028.99</v>
      </c>
      <c r="J434">
        <v>0</v>
      </c>
      <c r="K434" s="5">
        <v>34028.99</v>
      </c>
      <c r="L434" s="5">
        <v>26610.67</v>
      </c>
      <c r="M434" s="5">
        <v>7418.32</v>
      </c>
      <c r="N434">
        <f>YEAR(CleanedSalesData[[#This Row],[OrderDate]])</f>
        <v>2025</v>
      </c>
      <c r="O434">
        <f>MONTH(CleanedSalesData[[#This Row],[OrderDate]])</f>
        <v>5</v>
      </c>
      <c r="P434" t="str">
        <f>TEXT(CleanedSalesData[[#This Row],[OrderDate]], "yyyy-mm")</f>
        <v>2025-05</v>
      </c>
    </row>
    <row r="435" spans="1:16" x14ac:dyDescent="0.3">
      <c r="A435" s="3" t="s">
        <v>449</v>
      </c>
      <c r="B435" s="4">
        <v>45703</v>
      </c>
      <c r="C435" s="3" t="s">
        <v>516</v>
      </c>
      <c r="D435" s="3" t="s">
        <v>522</v>
      </c>
      <c r="E435" s="3" t="s">
        <v>545</v>
      </c>
      <c r="F435" s="3" t="s">
        <v>573</v>
      </c>
      <c r="G435" s="3" t="s">
        <v>585</v>
      </c>
      <c r="H435">
        <v>1</v>
      </c>
      <c r="I435" s="5">
        <v>3133.69</v>
      </c>
      <c r="J435">
        <v>0</v>
      </c>
      <c r="K435" s="5">
        <v>3133.69</v>
      </c>
      <c r="L435" s="5">
        <v>2804.65</v>
      </c>
      <c r="M435" s="5">
        <v>329.04</v>
      </c>
      <c r="N435">
        <f>YEAR(CleanedSalesData[[#This Row],[OrderDate]])</f>
        <v>2025</v>
      </c>
      <c r="O435">
        <f>MONTH(CleanedSalesData[[#This Row],[OrderDate]])</f>
        <v>2</v>
      </c>
      <c r="P435" t="str">
        <f>TEXT(CleanedSalesData[[#This Row],[OrderDate]], "yyyy-mm")</f>
        <v>2025-02</v>
      </c>
    </row>
    <row r="436" spans="1:16" x14ac:dyDescent="0.3">
      <c r="A436" s="3" t="s">
        <v>450</v>
      </c>
      <c r="B436" s="4">
        <v>45567</v>
      </c>
      <c r="C436" s="3" t="s">
        <v>520</v>
      </c>
      <c r="D436" s="3" t="s">
        <v>528</v>
      </c>
      <c r="E436" s="3" t="s">
        <v>552</v>
      </c>
      <c r="F436" s="3" t="s">
        <v>572</v>
      </c>
      <c r="G436" s="3" t="s">
        <v>577</v>
      </c>
      <c r="H436">
        <v>3</v>
      </c>
      <c r="I436" s="5">
        <v>596.67999999999995</v>
      </c>
      <c r="J436">
        <v>0</v>
      </c>
      <c r="K436" s="5">
        <v>1790.04</v>
      </c>
      <c r="L436" s="5">
        <v>1192.17</v>
      </c>
      <c r="M436" s="5">
        <v>597.87</v>
      </c>
      <c r="N436">
        <f>YEAR(CleanedSalesData[[#This Row],[OrderDate]])</f>
        <v>2024</v>
      </c>
      <c r="O436">
        <f>MONTH(CleanedSalesData[[#This Row],[OrderDate]])</f>
        <v>10</v>
      </c>
      <c r="P436" t="str">
        <f>TEXT(CleanedSalesData[[#This Row],[OrderDate]], "yyyy-mm")</f>
        <v>2024-10</v>
      </c>
    </row>
    <row r="437" spans="1:16" x14ac:dyDescent="0.3">
      <c r="A437" s="3" t="s">
        <v>451</v>
      </c>
      <c r="B437" s="4">
        <v>45392</v>
      </c>
      <c r="C437" s="3" t="s">
        <v>518</v>
      </c>
      <c r="D437" s="3" t="s">
        <v>537</v>
      </c>
      <c r="E437" s="3" t="s">
        <v>569</v>
      </c>
      <c r="F437" s="3" t="s">
        <v>573</v>
      </c>
      <c r="G437" s="3" t="s">
        <v>581</v>
      </c>
      <c r="H437">
        <v>1</v>
      </c>
      <c r="I437" s="5">
        <v>19802.71</v>
      </c>
      <c r="J437">
        <v>0</v>
      </c>
      <c r="K437" s="5">
        <v>19802.71</v>
      </c>
      <c r="L437" s="5">
        <v>17208.55</v>
      </c>
      <c r="M437" s="5">
        <v>2594.16</v>
      </c>
      <c r="N437">
        <f>YEAR(CleanedSalesData[[#This Row],[OrderDate]])</f>
        <v>2024</v>
      </c>
      <c r="O437">
        <f>MONTH(CleanedSalesData[[#This Row],[OrderDate]])</f>
        <v>4</v>
      </c>
      <c r="P437" t="str">
        <f>TEXT(CleanedSalesData[[#This Row],[OrderDate]], "yyyy-mm")</f>
        <v>2024-04</v>
      </c>
    </row>
    <row r="438" spans="1:16" x14ac:dyDescent="0.3">
      <c r="A438" s="3" t="s">
        <v>452</v>
      </c>
      <c r="B438" s="4">
        <v>45718</v>
      </c>
      <c r="C438" s="3" t="s">
        <v>517</v>
      </c>
      <c r="D438" s="3" t="s">
        <v>536</v>
      </c>
      <c r="E438" s="3" t="s">
        <v>560</v>
      </c>
      <c r="F438" s="3" t="s">
        <v>572</v>
      </c>
      <c r="G438" s="3" t="s">
        <v>583</v>
      </c>
      <c r="H438">
        <v>1</v>
      </c>
      <c r="I438" s="5">
        <v>1831.19</v>
      </c>
      <c r="J438">
        <v>0</v>
      </c>
      <c r="K438" s="5">
        <v>1831.19</v>
      </c>
      <c r="L438" s="5">
        <v>1514.39</v>
      </c>
      <c r="M438" s="5">
        <v>316.8</v>
      </c>
      <c r="N438">
        <f>YEAR(CleanedSalesData[[#This Row],[OrderDate]])</f>
        <v>2025</v>
      </c>
      <c r="O438">
        <f>MONTH(CleanedSalesData[[#This Row],[OrderDate]])</f>
        <v>3</v>
      </c>
      <c r="P438" t="str">
        <f>TEXT(CleanedSalesData[[#This Row],[OrderDate]], "yyyy-mm")</f>
        <v>2025-03</v>
      </c>
    </row>
    <row r="439" spans="1:16" x14ac:dyDescent="0.3">
      <c r="A439" s="3" t="s">
        <v>453</v>
      </c>
      <c r="B439" s="4">
        <v>45788</v>
      </c>
      <c r="C439" s="3" t="s">
        <v>517</v>
      </c>
      <c r="D439" s="3" t="s">
        <v>531</v>
      </c>
      <c r="E439" s="3" t="s">
        <v>551</v>
      </c>
      <c r="F439" s="3" t="s">
        <v>573</v>
      </c>
      <c r="G439" s="3" t="s">
        <v>585</v>
      </c>
      <c r="H439">
        <v>1</v>
      </c>
      <c r="I439" s="5">
        <v>3509.19</v>
      </c>
      <c r="J439">
        <v>0</v>
      </c>
      <c r="K439" s="5">
        <v>3509.19</v>
      </c>
      <c r="L439" s="5">
        <v>3168.8</v>
      </c>
      <c r="M439" s="5">
        <v>340.39</v>
      </c>
      <c r="N439">
        <f>YEAR(CleanedSalesData[[#This Row],[OrderDate]])</f>
        <v>2025</v>
      </c>
      <c r="O439">
        <f>MONTH(CleanedSalesData[[#This Row],[OrderDate]])</f>
        <v>5</v>
      </c>
      <c r="P439" t="str">
        <f>TEXT(CleanedSalesData[[#This Row],[OrderDate]], "yyyy-mm")</f>
        <v>2025-05</v>
      </c>
    </row>
    <row r="440" spans="1:16" x14ac:dyDescent="0.3">
      <c r="A440" s="3" t="s">
        <v>454</v>
      </c>
      <c r="B440" s="4">
        <v>45705</v>
      </c>
      <c r="C440" s="3" t="s">
        <v>518</v>
      </c>
      <c r="D440" s="3" t="s">
        <v>524</v>
      </c>
      <c r="E440" s="3" t="s">
        <v>550</v>
      </c>
      <c r="F440" s="3" t="s">
        <v>571</v>
      </c>
      <c r="G440" s="3" t="s">
        <v>574</v>
      </c>
      <c r="H440">
        <v>2</v>
      </c>
      <c r="I440" s="5">
        <v>70388.899999999994</v>
      </c>
      <c r="J440">
        <v>0</v>
      </c>
      <c r="K440" s="5">
        <v>140777.79999999999</v>
      </c>
      <c r="L440" s="5">
        <v>105864.91</v>
      </c>
      <c r="M440" s="5">
        <v>34912.89</v>
      </c>
      <c r="N440">
        <f>YEAR(CleanedSalesData[[#This Row],[OrderDate]])</f>
        <v>2025</v>
      </c>
      <c r="O440">
        <f>MONTH(CleanedSalesData[[#This Row],[OrderDate]])</f>
        <v>2</v>
      </c>
      <c r="P440" t="str">
        <f>TEXT(CleanedSalesData[[#This Row],[OrderDate]], "yyyy-mm")</f>
        <v>2025-02</v>
      </c>
    </row>
    <row r="441" spans="1:16" x14ac:dyDescent="0.3">
      <c r="A441" s="3" t="s">
        <v>455</v>
      </c>
      <c r="B441" s="4">
        <v>45351</v>
      </c>
      <c r="C441" s="3" t="s">
        <v>518</v>
      </c>
      <c r="D441" s="3" t="s">
        <v>537</v>
      </c>
      <c r="E441" s="3" t="s">
        <v>569</v>
      </c>
      <c r="F441" s="3" t="s">
        <v>571</v>
      </c>
      <c r="G441" s="3" t="s">
        <v>578</v>
      </c>
      <c r="H441">
        <v>1</v>
      </c>
      <c r="I441" s="5">
        <v>57256.81</v>
      </c>
      <c r="J441">
        <v>0</v>
      </c>
      <c r="K441" s="5">
        <v>57256.81</v>
      </c>
      <c r="L441" s="5">
        <v>50557.760000000002</v>
      </c>
      <c r="M441" s="5">
        <v>6699.05</v>
      </c>
      <c r="N441">
        <f>YEAR(CleanedSalesData[[#This Row],[OrderDate]])</f>
        <v>2024</v>
      </c>
      <c r="O441">
        <f>MONTH(CleanedSalesData[[#This Row],[OrderDate]])</f>
        <v>2</v>
      </c>
      <c r="P441" t="str">
        <f>TEXT(CleanedSalesData[[#This Row],[OrderDate]], "yyyy-mm")</f>
        <v>2024-02</v>
      </c>
    </row>
    <row r="442" spans="1:16" x14ac:dyDescent="0.3">
      <c r="A442" s="3" t="s">
        <v>456</v>
      </c>
      <c r="B442" s="4">
        <v>45767</v>
      </c>
      <c r="C442" s="3" t="s">
        <v>517</v>
      </c>
      <c r="D442" s="3" t="s">
        <v>530</v>
      </c>
      <c r="E442" s="3" t="s">
        <v>567</v>
      </c>
      <c r="F442" s="3" t="s">
        <v>573</v>
      </c>
      <c r="G442" s="3" t="s">
        <v>582</v>
      </c>
      <c r="H442">
        <v>1</v>
      </c>
      <c r="I442" s="5">
        <v>7564.58</v>
      </c>
      <c r="J442">
        <v>0</v>
      </c>
      <c r="K442" s="5">
        <v>7564.58</v>
      </c>
      <c r="L442" s="5">
        <v>5658.31</v>
      </c>
      <c r="M442" s="5">
        <v>1906.27</v>
      </c>
      <c r="N442">
        <f>YEAR(CleanedSalesData[[#This Row],[OrderDate]])</f>
        <v>2025</v>
      </c>
      <c r="O442">
        <f>MONTH(CleanedSalesData[[#This Row],[OrderDate]])</f>
        <v>4</v>
      </c>
      <c r="P442" t="str">
        <f>TEXT(CleanedSalesData[[#This Row],[OrderDate]], "yyyy-mm")</f>
        <v>2025-04</v>
      </c>
    </row>
    <row r="443" spans="1:16" x14ac:dyDescent="0.3">
      <c r="A443" s="3" t="s">
        <v>457</v>
      </c>
      <c r="B443" s="4">
        <v>45748</v>
      </c>
      <c r="C443" s="3" t="s">
        <v>518</v>
      </c>
      <c r="D443" s="3" t="s">
        <v>529</v>
      </c>
      <c r="E443" s="3" t="s">
        <v>553</v>
      </c>
      <c r="F443" s="3" t="s">
        <v>572</v>
      </c>
      <c r="G443" s="3" t="s">
        <v>583</v>
      </c>
      <c r="H443">
        <v>1</v>
      </c>
      <c r="I443" s="5">
        <v>1683.42</v>
      </c>
      <c r="J443">
        <v>0</v>
      </c>
      <c r="K443" s="5">
        <v>1683.42</v>
      </c>
      <c r="L443" s="5">
        <v>1547.06</v>
      </c>
      <c r="M443" s="5">
        <v>136.36000000000001</v>
      </c>
      <c r="N443">
        <f>YEAR(CleanedSalesData[[#This Row],[OrderDate]])</f>
        <v>2025</v>
      </c>
      <c r="O443">
        <f>MONTH(CleanedSalesData[[#This Row],[OrderDate]])</f>
        <v>4</v>
      </c>
      <c r="P443" t="str">
        <f>TEXT(CleanedSalesData[[#This Row],[OrderDate]], "yyyy-mm")</f>
        <v>2025-04</v>
      </c>
    </row>
    <row r="444" spans="1:16" x14ac:dyDescent="0.3">
      <c r="A444" s="3" t="s">
        <v>458</v>
      </c>
      <c r="B444" s="4">
        <v>45384</v>
      </c>
      <c r="C444" s="3" t="s">
        <v>520</v>
      </c>
      <c r="D444" s="3" t="s">
        <v>528</v>
      </c>
      <c r="E444" s="3" t="s">
        <v>552</v>
      </c>
      <c r="F444" s="3" t="s">
        <v>571</v>
      </c>
      <c r="G444" s="3" t="s">
        <v>574</v>
      </c>
      <c r="H444">
        <v>2</v>
      </c>
      <c r="I444" s="5">
        <v>68744.240000000005</v>
      </c>
      <c r="J444">
        <v>0</v>
      </c>
      <c r="K444" s="5">
        <v>137488.48000000001</v>
      </c>
      <c r="L444" s="5">
        <v>123189.68</v>
      </c>
      <c r="M444" s="5">
        <v>14298.8</v>
      </c>
      <c r="N444">
        <f>YEAR(CleanedSalesData[[#This Row],[OrderDate]])</f>
        <v>2024</v>
      </c>
      <c r="O444">
        <f>MONTH(CleanedSalesData[[#This Row],[OrderDate]])</f>
        <v>4</v>
      </c>
      <c r="P444" t="str">
        <f>TEXT(CleanedSalesData[[#This Row],[OrderDate]], "yyyy-mm")</f>
        <v>2024-04</v>
      </c>
    </row>
    <row r="445" spans="1:16" x14ac:dyDescent="0.3">
      <c r="A445" s="3" t="s">
        <v>459</v>
      </c>
      <c r="B445" s="4">
        <v>45511</v>
      </c>
      <c r="C445" s="3" t="s">
        <v>518</v>
      </c>
      <c r="D445" s="3" t="s">
        <v>524</v>
      </c>
      <c r="E445" s="3" t="s">
        <v>550</v>
      </c>
      <c r="F445" s="3" t="s">
        <v>573</v>
      </c>
      <c r="G445" s="3" t="s">
        <v>585</v>
      </c>
      <c r="H445">
        <v>2</v>
      </c>
      <c r="I445" s="5">
        <v>8188.92</v>
      </c>
      <c r="J445">
        <v>0</v>
      </c>
      <c r="K445" s="5">
        <v>16377.84</v>
      </c>
      <c r="L445" s="5">
        <v>14396.12</v>
      </c>
      <c r="M445" s="5">
        <v>1981.72</v>
      </c>
      <c r="N445">
        <f>YEAR(CleanedSalesData[[#This Row],[OrderDate]])</f>
        <v>2024</v>
      </c>
      <c r="O445">
        <f>MONTH(CleanedSalesData[[#This Row],[OrderDate]])</f>
        <v>8</v>
      </c>
      <c r="P445" t="str">
        <f>TEXT(CleanedSalesData[[#This Row],[OrderDate]], "yyyy-mm")</f>
        <v>2024-08</v>
      </c>
    </row>
    <row r="446" spans="1:16" x14ac:dyDescent="0.3">
      <c r="A446" s="3" t="s">
        <v>460</v>
      </c>
      <c r="B446" s="4">
        <v>45312</v>
      </c>
      <c r="C446" s="3" t="s">
        <v>516</v>
      </c>
      <c r="D446" s="3" t="s">
        <v>522</v>
      </c>
      <c r="E446" s="3" t="s">
        <v>539</v>
      </c>
      <c r="F446" s="3" t="s">
        <v>573</v>
      </c>
      <c r="G446" s="3" t="s">
        <v>585</v>
      </c>
      <c r="H446">
        <v>1</v>
      </c>
      <c r="I446" s="5">
        <v>15826.26</v>
      </c>
      <c r="J446">
        <v>0.1</v>
      </c>
      <c r="K446" s="5">
        <v>14243.63</v>
      </c>
      <c r="L446" s="5">
        <v>12491.66</v>
      </c>
      <c r="M446" s="5">
        <v>1751.97</v>
      </c>
      <c r="N446">
        <f>YEAR(CleanedSalesData[[#This Row],[OrderDate]])</f>
        <v>2024</v>
      </c>
      <c r="O446">
        <f>MONTH(CleanedSalesData[[#This Row],[OrderDate]])</f>
        <v>1</v>
      </c>
      <c r="P446" t="str">
        <f>TEXT(CleanedSalesData[[#This Row],[OrderDate]], "yyyy-mm")</f>
        <v>2024-01</v>
      </c>
    </row>
    <row r="447" spans="1:16" x14ac:dyDescent="0.3">
      <c r="A447" s="3" t="s">
        <v>461</v>
      </c>
      <c r="B447" s="4">
        <v>45604</v>
      </c>
      <c r="C447" s="3" t="s">
        <v>520</v>
      </c>
      <c r="D447" s="3" t="s">
        <v>535</v>
      </c>
      <c r="E447" s="3" t="s">
        <v>559</v>
      </c>
      <c r="F447" s="3" t="s">
        <v>572</v>
      </c>
      <c r="G447" s="3" t="s">
        <v>586</v>
      </c>
      <c r="H447">
        <v>2</v>
      </c>
      <c r="I447" s="5">
        <v>541.4</v>
      </c>
      <c r="J447">
        <v>0</v>
      </c>
      <c r="K447" s="5">
        <v>1082.8</v>
      </c>
      <c r="L447" s="5">
        <v>750.38</v>
      </c>
      <c r="M447" s="5">
        <v>332.42</v>
      </c>
      <c r="N447">
        <f>YEAR(CleanedSalesData[[#This Row],[OrderDate]])</f>
        <v>2024</v>
      </c>
      <c r="O447">
        <f>MONTH(CleanedSalesData[[#This Row],[OrderDate]])</f>
        <v>11</v>
      </c>
      <c r="P447" t="str">
        <f>TEXT(CleanedSalesData[[#This Row],[OrderDate]], "yyyy-mm")</f>
        <v>2024-11</v>
      </c>
    </row>
    <row r="448" spans="1:16" x14ac:dyDescent="0.3">
      <c r="A448" s="3" t="s">
        <v>462</v>
      </c>
      <c r="B448" s="4">
        <v>45825</v>
      </c>
      <c r="C448" s="3" t="s">
        <v>517</v>
      </c>
      <c r="D448" s="3" t="s">
        <v>530</v>
      </c>
      <c r="E448" s="3" t="s">
        <v>567</v>
      </c>
      <c r="F448" s="3" t="s">
        <v>571</v>
      </c>
      <c r="G448" s="3" t="s">
        <v>579</v>
      </c>
      <c r="H448">
        <v>2</v>
      </c>
      <c r="I448" s="5">
        <v>79956.06</v>
      </c>
      <c r="J448">
        <v>0</v>
      </c>
      <c r="K448" s="5">
        <v>159912.12</v>
      </c>
      <c r="L448" s="5">
        <v>132886.97</v>
      </c>
      <c r="M448" s="5">
        <v>27025.15</v>
      </c>
      <c r="N448">
        <f>YEAR(CleanedSalesData[[#This Row],[OrderDate]])</f>
        <v>2025</v>
      </c>
      <c r="O448">
        <f>MONTH(CleanedSalesData[[#This Row],[OrderDate]])</f>
        <v>6</v>
      </c>
      <c r="P448" t="str">
        <f>TEXT(CleanedSalesData[[#This Row],[OrderDate]], "yyyy-mm")</f>
        <v>2025-06</v>
      </c>
    </row>
    <row r="449" spans="1:16" x14ac:dyDescent="0.3">
      <c r="A449" s="3" t="s">
        <v>463</v>
      </c>
      <c r="B449" s="4">
        <v>45675</v>
      </c>
      <c r="C449" s="3" t="s">
        <v>517</v>
      </c>
      <c r="D449" s="3" t="s">
        <v>531</v>
      </c>
      <c r="E449" s="3" t="s">
        <v>563</v>
      </c>
      <c r="F449" s="3" t="s">
        <v>573</v>
      </c>
      <c r="G449" s="3" t="s">
        <v>582</v>
      </c>
      <c r="H449">
        <v>2</v>
      </c>
      <c r="I449" s="5">
        <v>13079.98</v>
      </c>
      <c r="J449">
        <v>0</v>
      </c>
      <c r="K449" s="5">
        <v>26159.96</v>
      </c>
      <c r="L449" s="5">
        <v>23256.2</v>
      </c>
      <c r="M449" s="5">
        <v>2903.76</v>
      </c>
      <c r="N449">
        <f>YEAR(CleanedSalesData[[#This Row],[OrderDate]])</f>
        <v>2025</v>
      </c>
      <c r="O449">
        <f>MONTH(CleanedSalesData[[#This Row],[OrderDate]])</f>
        <v>1</v>
      </c>
      <c r="P449" t="str">
        <f>TEXT(CleanedSalesData[[#This Row],[OrderDate]], "yyyy-mm")</f>
        <v>2025-01</v>
      </c>
    </row>
    <row r="450" spans="1:16" x14ac:dyDescent="0.3">
      <c r="A450" s="3" t="s">
        <v>464</v>
      </c>
      <c r="B450" s="4">
        <v>45575</v>
      </c>
      <c r="C450" s="3" t="s">
        <v>520</v>
      </c>
      <c r="D450" s="3" t="s">
        <v>535</v>
      </c>
      <c r="E450" s="3" t="s">
        <v>559</v>
      </c>
      <c r="F450" s="3" t="s">
        <v>573</v>
      </c>
      <c r="G450" s="3" t="s">
        <v>580</v>
      </c>
      <c r="H450">
        <v>1</v>
      </c>
      <c r="I450" s="5">
        <v>6332.28</v>
      </c>
      <c r="J450">
        <v>0</v>
      </c>
      <c r="K450" s="5">
        <v>6332.28</v>
      </c>
      <c r="L450" s="5">
        <v>4312.28</v>
      </c>
      <c r="M450" s="5">
        <v>2020</v>
      </c>
      <c r="N450">
        <f>YEAR(CleanedSalesData[[#This Row],[OrderDate]])</f>
        <v>2024</v>
      </c>
      <c r="O450">
        <f>MONTH(CleanedSalesData[[#This Row],[OrderDate]])</f>
        <v>10</v>
      </c>
      <c r="P450" t="str">
        <f>TEXT(CleanedSalesData[[#This Row],[OrderDate]], "yyyy-mm")</f>
        <v>2024-10</v>
      </c>
    </row>
    <row r="451" spans="1:16" x14ac:dyDescent="0.3">
      <c r="A451" s="3" t="s">
        <v>465</v>
      </c>
      <c r="B451" s="4">
        <v>45538</v>
      </c>
      <c r="C451" s="3" t="s">
        <v>516</v>
      </c>
      <c r="D451" s="3" t="s">
        <v>522</v>
      </c>
      <c r="E451" s="3" t="s">
        <v>545</v>
      </c>
      <c r="F451" s="3" t="s">
        <v>573</v>
      </c>
      <c r="G451" s="3" t="s">
        <v>585</v>
      </c>
      <c r="H451">
        <v>1</v>
      </c>
      <c r="I451" s="5">
        <v>18589.509999999998</v>
      </c>
      <c r="J451">
        <v>0</v>
      </c>
      <c r="K451" s="5">
        <v>18589.509999999998</v>
      </c>
      <c r="L451" s="5">
        <v>17176.71</v>
      </c>
      <c r="M451" s="5">
        <v>1412.8</v>
      </c>
      <c r="N451">
        <f>YEAR(CleanedSalesData[[#This Row],[OrderDate]])</f>
        <v>2024</v>
      </c>
      <c r="O451">
        <f>MONTH(CleanedSalesData[[#This Row],[OrderDate]])</f>
        <v>9</v>
      </c>
      <c r="P451" t="str">
        <f>TEXT(CleanedSalesData[[#This Row],[OrderDate]], "yyyy-mm")</f>
        <v>2024-09</v>
      </c>
    </row>
    <row r="452" spans="1:16" x14ac:dyDescent="0.3">
      <c r="A452" s="3" t="s">
        <v>466</v>
      </c>
      <c r="B452" s="4">
        <v>45594</v>
      </c>
      <c r="C452" s="3" t="s">
        <v>520</v>
      </c>
      <c r="D452" s="3" t="s">
        <v>535</v>
      </c>
      <c r="E452" s="3" t="s">
        <v>559</v>
      </c>
      <c r="F452" s="3" t="s">
        <v>572</v>
      </c>
      <c r="G452" s="3" t="s">
        <v>588</v>
      </c>
      <c r="H452">
        <v>1</v>
      </c>
      <c r="I452" s="5">
        <v>1186.9000000000001</v>
      </c>
      <c r="J452">
        <v>0</v>
      </c>
      <c r="K452" s="5">
        <v>1186.9000000000001</v>
      </c>
      <c r="L452" s="5">
        <v>1118.06</v>
      </c>
      <c r="M452" s="5">
        <v>68.84</v>
      </c>
      <c r="N452">
        <f>YEAR(CleanedSalesData[[#This Row],[OrderDate]])</f>
        <v>2024</v>
      </c>
      <c r="O452">
        <f>MONTH(CleanedSalesData[[#This Row],[OrderDate]])</f>
        <v>10</v>
      </c>
      <c r="P452" t="str">
        <f>TEXT(CleanedSalesData[[#This Row],[OrderDate]], "yyyy-mm")</f>
        <v>2024-10</v>
      </c>
    </row>
    <row r="453" spans="1:16" x14ac:dyDescent="0.3">
      <c r="A453" s="3" t="s">
        <v>467</v>
      </c>
      <c r="B453" s="4">
        <v>45486</v>
      </c>
      <c r="C453" s="3" t="s">
        <v>520</v>
      </c>
      <c r="D453" s="3" t="s">
        <v>528</v>
      </c>
      <c r="E453" s="3" t="s">
        <v>552</v>
      </c>
      <c r="F453" s="3" t="s">
        <v>573</v>
      </c>
      <c r="G453" s="3" t="s">
        <v>580</v>
      </c>
      <c r="H453">
        <v>1</v>
      </c>
      <c r="I453" s="5">
        <v>13668.24</v>
      </c>
      <c r="J453">
        <v>0</v>
      </c>
      <c r="K453" s="5">
        <v>13668.24</v>
      </c>
      <c r="L453" s="5">
        <v>10592.89</v>
      </c>
      <c r="M453" s="5">
        <v>3075.35</v>
      </c>
      <c r="N453">
        <f>YEAR(CleanedSalesData[[#This Row],[OrderDate]])</f>
        <v>2024</v>
      </c>
      <c r="O453">
        <f>MONTH(CleanedSalesData[[#This Row],[OrderDate]])</f>
        <v>7</v>
      </c>
      <c r="P453" t="str">
        <f>TEXT(CleanedSalesData[[#This Row],[OrderDate]], "yyyy-mm")</f>
        <v>2024-07</v>
      </c>
    </row>
    <row r="454" spans="1:16" x14ac:dyDescent="0.3">
      <c r="A454" s="3" t="s">
        <v>468</v>
      </c>
      <c r="B454" s="4">
        <v>45863</v>
      </c>
      <c r="C454" s="3" t="s">
        <v>518</v>
      </c>
      <c r="D454" s="3" t="s">
        <v>529</v>
      </c>
      <c r="E454" s="3" t="s">
        <v>548</v>
      </c>
      <c r="F454" s="3" t="s">
        <v>572</v>
      </c>
      <c r="G454" s="3" t="s">
        <v>583</v>
      </c>
      <c r="H454">
        <v>1</v>
      </c>
      <c r="I454" s="5">
        <v>1494.79</v>
      </c>
      <c r="J454">
        <v>0</v>
      </c>
      <c r="K454" s="5">
        <v>1494.79</v>
      </c>
      <c r="L454" s="5">
        <v>1019.45</v>
      </c>
      <c r="M454" s="5">
        <v>475.34</v>
      </c>
      <c r="N454">
        <f>YEAR(CleanedSalesData[[#This Row],[OrderDate]])</f>
        <v>2025</v>
      </c>
      <c r="O454">
        <f>MONTH(CleanedSalesData[[#This Row],[OrderDate]])</f>
        <v>7</v>
      </c>
      <c r="P454" t="str">
        <f>TEXT(CleanedSalesData[[#This Row],[OrderDate]], "yyyy-mm")</f>
        <v>2025-07</v>
      </c>
    </row>
    <row r="455" spans="1:16" x14ac:dyDescent="0.3">
      <c r="A455" s="3" t="s">
        <v>469</v>
      </c>
      <c r="B455" s="4">
        <v>45864</v>
      </c>
      <c r="C455" s="3" t="s">
        <v>518</v>
      </c>
      <c r="D455" s="3" t="s">
        <v>524</v>
      </c>
      <c r="E455" s="3" t="s">
        <v>541</v>
      </c>
      <c r="F455" s="3" t="s">
        <v>573</v>
      </c>
      <c r="G455" s="3" t="s">
        <v>582</v>
      </c>
      <c r="H455">
        <v>2</v>
      </c>
      <c r="I455" s="5">
        <v>7111.83</v>
      </c>
      <c r="J455">
        <v>0</v>
      </c>
      <c r="K455" s="5">
        <v>14223.66</v>
      </c>
      <c r="L455" s="5">
        <v>12047.44</v>
      </c>
      <c r="M455" s="5">
        <v>2176.2199999999998</v>
      </c>
      <c r="N455">
        <f>YEAR(CleanedSalesData[[#This Row],[OrderDate]])</f>
        <v>2025</v>
      </c>
      <c r="O455">
        <f>MONTH(CleanedSalesData[[#This Row],[OrderDate]])</f>
        <v>7</v>
      </c>
      <c r="P455" t="str">
        <f>TEXT(CleanedSalesData[[#This Row],[OrderDate]], "yyyy-mm")</f>
        <v>2025-07</v>
      </c>
    </row>
    <row r="456" spans="1:16" x14ac:dyDescent="0.3">
      <c r="A456" s="3" t="s">
        <v>470</v>
      </c>
      <c r="B456" s="4">
        <v>45606</v>
      </c>
      <c r="C456" s="3" t="s">
        <v>519</v>
      </c>
      <c r="D456" s="3" t="s">
        <v>532</v>
      </c>
      <c r="E456" s="3" t="s">
        <v>554</v>
      </c>
      <c r="F456" s="3" t="s">
        <v>572</v>
      </c>
      <c r="G456" s="3" t="s">
        <v>587</v>
      </c>
      <c r="H456">
        <v>1</v>
      </c>
      <c r="I456" s="5">
        <v>623.4</v>
      </c>
      <c r="J456">
        <v>0</v>
      </c>
      <c r="K456" s="5">
        <v>623.4</v>
      </c>
      <c r="L456" s="5">
        <v>521.16</v>
      </c>
      <c r="M456" s="5">
        <v>102.24</v>
      </c>
      <c r="N456">
        <f>YEAR(CleanedSalesData[[#This Row],[OrderDate]])</f>
        <v>2024</v>
      </c>
      <c r="O456">
        <f>MONTH(CleanedSalesData[[#This Row],[OrderDate]])</f>
        <v>11</v>
      </c>
      <c r="P456" t="str">
        <f>TEXT(CleanedSalesData[[#This Row],[OrderDate]], "yyyy-mm")</f>
        <v>2024-11</v>
      </c>
    </row>
    <row r="457" spans="1:16" x14ac:dyDescent="0.3">
      <c r="A457" s="3" t="s">
        <v>471</v>
      </c>
      <c r="B457" s="4">
        <v>45773</v>
      </c>
      <c r="C457" s="3" t="s">
        <v>516</v>
      </c>
      <c r="D457" s="3" t="s">
        <v>525</v>
      </c>
      <c r="E457" s="3" t="s">
        <v>542</v>
      </c>
      <c r="F457" s="3" t="s">
        <v>571</v>
      </c>
      <c r="G457" s="3" t="s">
        <v>579</v>
      </c>
      <c r="H457">
        <v>1</v>
      </c>
      <c r="I457" s="5">
        <v>12225.83</v>
      </c>
      <c r="J457">
        <v>0</v>
      </c>
      <c r="K457" s="5">
        <v>12225.83</v>
      </c>
      <c r="L457" s="5">
        <v>10636.47</v>
      </c>
      <c r="M457" s="5">
        <v>1589.36</v>
      </c>
      <c r="N457">
        <f>YEAR(CleanedSalesData[[#This Row],[OrderDate]])</f>
        <v>2025</v>
      </c>
      <c r="O457">
        <f>MONTH(CleanedSalesData[[#This Row],[OrderDate]])</f>
        <v>4</v>
      </c>
      <c r="P457" t="str">
        <f>TEXT(CleanedSalesData[[#This Row],[OrderDate]], "yyyy-mm")</f>
        <v>2025-04</v>
      </c>
    </row>
    <row r="458" spans="1:16" x14ac:dyDescent="0.3">
      <c r="A458" s="3" t="s">
        <v>472</v>
      </c>
      <c r="B458" s="4">
        <v>45834</v>
      </c>
      <c r="C458" s="3" t="s">
        <v>520</v>
      </c>
      <c r="D458" s="3" t="s">
        <v>535</v>
      </c>
      <c r="E458" s="3" t="s">
        <v>565</v>
      </c>
      <c r="F458" s="3" t="s">
        <v>571</v>
      </c>
      <c r="G458" s="3" t="s">
        <v>574</v>
      </c>
      <c r="H458">
        <v>1</v>
      </c>
      <c r="I458" s="5">
        <v>79410.78</v>
      </c>
      <c r="J458">
        <v>0</v>
      </c>
      <c r="K458" s="5">
        <v>79410.78</v>
      </c>
      <c r="L458" s="5">
        <v>65672.72</v>
      </c>
      <c r="M458" s="5">
        <v>13738.06</v>
      </c>
      <c r="N458">
        <f>YEAR(CleanedSalesData[[#This Row],[OrderDate]])</f>
        <v>2025</v>
      </c>
      <c r="O458">
        <f>MONTH(CleanedSalesData[[#This Row],[OrderDate]])</f>
        <v>6</v>
      </c>
      <c r="P458" t="str">
        <f>TEXT(CleanedSalesData[[#This Row],[OrderDate]], "yyyy-mm")</f>
        <v>2025-06</v>
      </c>
    </row>
    <row r="459" spans="1:16" x14ac:dyDescent="0.3">
      <c r="A459" s="3" t="s">
        <v>473</v>
      </c>
      <c r="B459" s="4">
        <v>45875</v>
      </c>
      <c r="C459" s="3" t="s">
        <v>519</v>
      </c>
      <c r="D459" s="3" t="s">
        <v>533</v>
      </c>
      <c r="E459" s="3" t="s">
        <v>555</v>
      </c>
      <c r="F459" s="3" t="s">
        <v>573</v>
      </c>
      <c r="G459" s="3" t="s">
        <v>585</v>
      </c>
      <c r="H459">
        <v>1</v>
      </c>
      <c r="I459" s="5">
        <v>19915.650000000001</v>
      </c>
      <c r="J459">
        <v>0</v>
      </c>
      <c r="K459" s="5">
        <v>19915.650000000001</v>
      </c>
      <c r="L459" s="5">
        <v>16310.92</v>
      </c>
      <c r="M459" s="5">
        <v>3604.73</v>
      </c>
      <c r="N459">
        <f>YEAR(CleanedSalesData[[#This Row],[OrderDate]])</f>
        <v>2025</v>
      </c>
      <c r="O459">
        <f>MONTH(CleanedSalesData[[#This Row],[OrderDate]])</f>
        <v>8</v>
      </c>
      <c r="P459" t="str">
        <f>TEXT(CleanedSalesData[[#This Row],[OrderDate]], "yyyy-mm")</f>
        <v>2025-08</v>
      </c>
    </row>
    <row r="460" spans="1:16" x14ac:dyDescent="0.3">
      <c r="A460" s="3" t="s">
        <v>474</v>
      </c>
      <c r="B460" s="4">
        <v>45473</v>
      </c>
      <c r="C460" s="3" t="s">
        <v>520</v>
      </c>
      <c r="D460" s="3" t="s">
        <v>528</v>
      </c>
      <c r="E460" s="3" t="s">
        <v>547</v>
      </c>
      <c r="F460" s="3" t="s">
        <v>572</v>
      </c>
      <c r="G460" s="3" t="s">
        <v>577</v>
      </c>
      <c r="H460">
        <v>1</v>
      </c>
      <c r="I460" s="5">
        <v>458.3</v>
      </c>
      <c r="J460">
        <v>0</v>
      </c>
      <c r="K460" s="5">
        <v>458.3</v>
      </c>
      <c r="L460" s="5">
        <v>304.77</v>
      </c>
      <c r="M460" s="5">
        <v>153.53</v>
      </c>
      <c r="N460">
        <f>YEAR(CleanedSalesData[[#This Row],[OrderDate]])</f>
        <v>2024</v>
      </c>
      <c r="O460">
        <f>MONTH(CleanedSalesData[[#This Row],[OrderDate]])</f>
        <v>6</v>
      </c>
      <c r="P460" t="str">
        <f>TEXT(CleanedSalesData[[#This Row],[OrderDate]], "yyyy-mm")</f>
        <v>2024-06</v>
      </c>
    </row>
    <row r="461" spans="1:16" x14ac:dyDescent="0.3">
      <c r="A461" s="3" t="s">
        <v>475</v>
      </c>
      <c r="B461" s="4">
        <v>45882</v>
      </c>
      <c r="C461" s="3" t="s">
        <v>518</v>
      </c>
      <c r="D461" s="3" t="s">
        <v>529</v>
      </c>
      <c r="E461" s="3" t="s">
        <v>548</v>
      </c>
      <c r="F461" s="3" t="s">
        <v>571</v>
      </c>
      <c r="G461" s="3" t="s">
        <v>579</v>
      </c>
      <c r="H461">
        <v>2</v>
      </c>
      <c r="I461" s="5">
        <v>36395.78</v>
      </c>
      <c r="J461">
        <v>0</v>
      </c>
      <c r="K461" s="5">
        <v>72791.56</v>
      </c>
      <c r="L461" s="5">
        <v>66094.740000000005</v>
      </c>
      <c r="M461" s="5">
        <v>6696.82</v>
      </c>
      <c r="N461">
        <f>YEAR(CleanedSalesData[[#This Row],[OrderDate]])</f>
        <v>2025</v>
      </c>
      <c r="O461">
        <f>MONTH(CleanedSalesData[[#This Row],[OrderDate]])</f>
        <v>8</v>
      </c>
      <c r="P461" t="str">
        <f>TEXT(CleanedSalesData[[#This Row],[OrderDate]], "yyyy-mm")</f>
        <v>2025-08</v>
      </c>
    </row>
    <row r="462" spans="1:16" x14ac:dyDescent="0.3">
      <c r="A462" s="3" t="s">
        <v>476</v>
      </c>
      <c r="B462" s="4">
        <v>45731</v>
      </c>
      <c r="C462" s="3" t="s">
        <v>519</v>
      </c>
      <c r="D462" s="3" t="s">
        <v>534</v>
      </c>
      <c r="E462" s="3" t="s">
        <v>566</v>
      </c>
      <c r="F462" s="3" t="s">
        <v>571</v>
      </c>
      <c r="G462" s="3" t="s">
        <v>579</v>
      </c>
      <c r="H462">
        <v>3</v>
      </c>
      <c r="I462" s="5">
        <v>18354.900000000001</v>
      </c>
      <c r="J462">
        <v>0</v>
      </c>
      <c r="K462" s="5">
        <v>55064.7</v>
      </c>
      <c r="L462" s="5">
        <v>44272.02</v>
      </c>
      <c r="M462" s="5">
        <v>10792.68</v>
      </c>
      <c r="N462">
        <f>YEAR(CleanedSalesData[[#This Row],[OrderDate]])</f>
        <v>2025</v>
      </c>
      <c r="O462">
        <f>MONTH(CleanedSalesData[[#This Row],[OrderDate]])</f>
        <v>3</v>
      </c>
      <c r="P462" t="str">
        <f>TEXT(CleanedSalesData[[#This Row],[OrderDate]], "yyyy-mm")</f>
        <v>2025-03</v>
      </c>
    </row>
    <row r="463" spans="1:16" x14ac:dyDescent="0.3">
      <c r="A463" s="3" t="s">
        <v>477</v>
      </c>
      <c r="B463" s="4">
        <v>45306</v>
      </c>
      <c r="C463" s="3" t="s">
        <v>520</v>
      </c>
      <c r="D463" s="3" t="s">
        <v>528</v>
      </c>
      <c r="E463" s="3" t="s">
        <v>547</v>
      </c>
      <c r="F463" s="3" t="s">
        <v>573</v>
      </c>
      <c r="G463" s="3" t="s">
        <v>582</v>
      </c>
      <c r="H463">
        <v>3</v>
      </c>
      <c r="I463" s="5">
        <v>16413.8</v>
      </c>
      <c r="J463">
        <v>0</v>
      </c>
      <c r="K463" s="5">
        <v>49241.4</v>
      </c>
      <c r="L463" s="5">
        <v>34961.39</v>
      </c>
      <c r="M463" s="5">
        <v>14280.01</v>
      </c>
      <c r="N463">
        <f>YEAR(CleanedSalesData[[#This Row],[OrderDate]])</f>
        <v>2024</v>
      </c>
      <c r="O463">
        <f>MONTH(CleanedSalesData[[#This Row],[OrderDate]])</f>
        <v>1</v>
      </c>
      <c r="P463" t="str">
        <f>TEXT(CleanedSalesData[[#This Row],[OrderDate]], "yyyy-mm")</f>
        <v>2024-01</v>
      </c>
    </row>
    <row r="464" spans="1:16" x14ac:dyDescent="0.3">
      <c r="A464" s="3" t="s">
        <v>478</v>
      </c>
      <c r="B464" s="4">
        <v>45644</v>
      </c>
      <c r="C464" s="3" t="s">
        <v>520</v>
      </c>
      <c r="D464" s="3" t="s">
        <v>528</v>
      </c>
      <c r="E464" s="3" t="s">
        <v>547</v>
      </c>
      <c r="F464" s="3" t="s">
        <v>572</v>
      </c>
      <c r="G464" s="3" t="s">
        <v>587</v>
      </c>
      <c r="H464">
        <v>1</v>
      </c>
      <c r="I464" s="5">
        <v>1197.9100000000001</v>
      </c>
      <c r="J464">
        <v>0.05</v>
      </c>
      <c r="K464" s="5">
        <v>1138.01</v>
      </c>
      <c r="L464" s="5">
        <v>1073.1400000000001</v>
      </c>
      <c r="M464" s="5">
        <v>64.87</v>
      </c>
      <c r="N464">
        <f>YEAR(CleanedSalesData[[#This Row],[OrderDate]])</f>
        <v>2024</v>
      </c>
      <c r="O464">
        <f>MONTH(CleanedSalesData[[#This Row],[OrderDate]])</f>
        <v>12</v>
      </c>
      <c r="P464" t="str">
        <f>TEXT(CleanedSalesData[[#This Row],[OrderDate]], "yyyy-mm")</f>
        <v>2024-12</v>
      </c>
    </row>
    <row r="465" spans="1:16" x14ac:dyDescent="0.3">
      <c r="A465" s="3" t="s">
        <v>479</v>
      </c>
      <c r="B465" s="4">
        <v>45597</v>
      </c>
      <c r="C465" s="3" t="s">
        <v>520</v>
      </c>
      <c r="D465" s="3" t="s">
        <v>535</v>
      </c>
      <c r="E465" s="3" t="s">
        <v>559</v>
      </c>
      <c r="F465" s="3" t="s">
        <v>572</v>
      </c>
      <c r="G465" s="3" t="s">
        <v>583</v>
      </c>
      <c r="H465">
        <v>1</v>
      </c>
      <c r="I465" s="5">
        <v>718.33</v>
      </c>
      <c r="J465">
        <v>0</v>
      </c>
      <c r="K465" s="5">
        <v>718.33</v>
      </c>
      <c r="L465" s="5">
        <v>566.04</v>
      </c>
      <c r="M465" s="5">
        <v>152.29</v>
      </c>
      <c r="N465">
        <f>YEAR(CleanedSalesData[[#This Row],[OrderDate]])</f>
        <v>2024</v>
      </c>
      <c r="O465">
        <f>MONTH(CleanedSalesData[[#This Row],[OrderDate]])</f>
        <v>11</v>
      </c>
      <c r="P465" t="str">
        <f>TEXT(CleanedSalesData[[#This Row],[OrderDate]], "yyyy-mm")</f>
        <v>2024-11</v>
      </c>
    </row>
    <row r="466" spans="1:16" x14ac:dyDescent="0.3">
      <c r="A466" s="3" t="s">
        <v>480</v>
      </c>
      <c r="B466" s="4">
        <v>45659</v>
      </c>
      <c r="C466" s="3" t="s">
        <v>518</v>
      </c>
      <c r="D466" s="3" t="s">
        <v>537</v>
      </c>
      <c r="E466" s="3" t="s">
        <v>569</v>
      </c>
      <c r="F466" s="3" t="s">
        <v>571</v>
      </c>
      <c r="G466" s="3" t="s">
        <v>574</v>
      </c>
      <c r="H466">
        <v>1</v>
      </c>
      <c r="I466" s="5">
        <v>20272.740000000002</v>
      </c>
      <c r="J466">
        <v>0</v>
      </c>
      <c r="K466" s="5">
        <v>20272.740000000002</v>
      </c>
      <c r="L466" s="5">
        <v>17698.099999999999</v>
      </c>
      <c r="M466" s="5">
        <v>2574.64</v>
      </c>
      <c r="N466">
        <f>YEAR(CleanedSalesData[[#This Row],[OrderDate]])</f>
        <v>2025</v>
      </c>
      <c r="O466">
        <f>MONTH(CleanedSalesData[[#This Row],[OrderDate]])</f>
        <v>1</v>
      </c>
      <c r="P466" t="str">
        <f>TEXT(CleanedSalesData[[#This Row],[OrderDate]], "yyyy-mm")</f>
        <v>2025-01</v>
      </c>
    </row>
    <row r="467" spans="1:16" x14ac:dyDescent="0.3">
      <c r="A467" s="3" t="s">
        <v>481</v>
      </c>
      <c r="B467" s="4">
        <v>45508</v>
      </c>
      <c r="C467" s="3" t="s">
        <v>516</v>
      </c>
      <c r="D467" s="3" t="s">
        <v>527</v>
      </c>
      <c r="E467" s="3" t="s">
        <v>546</v>
      </c>
      <c r="F467" s="3" t="s">
        <v>572</v>
      </c>
      <c r="G467" s="3" t="s">
        <v>588</v>
      </c>
      <c r="H467">
        <v>1</v>
      </c>
      <c r="I467" s="5">
        <v>781.63</v>
      </c>
      <c r="J467">
        <v>0</v>
      </c>
      <c r="K467" s="5">
        <v>781.63</v>
      </c>
      <c r="L467" s="5">
        <v>547.14</v>
      </c>
      <c r="M467" s="5">
        <v>234.49</v>
      </c>
      <c r="N467">
        <f>YEAR(CleanedSalesData[[#This Row],[OrderDate]])</f>
        <v>2024</v>
      </c>
      <c r="O467">
        <f>MONTH(CleanedSalesData[[#This Row],[OrderDate]])</f>
        <v>8</v>
      </c>
      <c r="P467" t="str">
        <f>TEXT(CleanedSalesData[[#This Row],[OrderDate]], "yyyy-mm")</f>
        <v>2024-08</v>
      </c>
    </row>
    <row r="468" spans="1:16" x14ac:dyDescent="0.3">
      <c r="A468" s="3" t="s">
        <v>482</v>
      </c>
      <c r="B468" s="4">
        <v>45839</v>
      </c>
      <c r="C468" s="3" t="s">
        <v>517</v>
      </c>
      <c r="D468" s="3" t="s">
        <v>536</v>
      </c>
      <c r="E468" s="3" t="s">
        <v>560</v>
      </c>
      <c r="F468" s="3" t="s">
        <v>573</v>
      </c>
      <c r="G468" s="3" t="s">
        <v>582</v>
      </c>
      <c r="H468">
        <v>5</v>
      </c>
      <c r="I468" s="5">
        <v>17032.060000000001</v>
      </c>
      <c r="J468">
        <v>0.15</v>
      </c>
      <c r="K468" s="5">
        <v>72386.259999999995</v>
      </c>
      <c r="L468" s="5">
        <v>57329.919999999998</v>
      </c>
      <c r="M468" s="5">
        <v>15056.34</v>
      </c>
      <c r="N468">
        <f>YEAR(CleanedSalesData[[#This Row],[OrderDate]])</f>
        <v>2025</v>
      </c>
      <c r="O468">
        <f>MONTH(CleanedSalesData[[#This Row],[OrderDate]])</f>
        <v>7</v>
      </c>
      <c r="P468" t="str">
        <f>TEXT(CleanedSalesData[[#This Row],[OrderDate]], "yyyy-mm")</f>
        <v>2025-07</v>
      </c>
    </row>
    <row r="469" spans="1:16" x14ac:dyDescent="0.3">
      <c r="A469" s="3" t="s">
        <v>483</v>
      </c>
      <c r="B469" s="4">
        <v>45410</v>
      </c>
      <c r="C469" s="3" t="s">
        <v>519</v>
      </c>
      <c r="D469" s="3" t="s">
        <v>534</v>
      </c>
      <c r="E469" s="3" t="s">
        <v>556</v>
      </c>
      <c r="F469" s="3" t="s">
        <v>571</v>
      </c>
      <c r="G469" s="3" t="s">
        <v>579</v>
      </c>
      <c r="H469">
        <v>1</v>
      </c>
      <c r="I469" s="5">
        <v>22460.85</v>
      </c>
      <c r="J469">
        <v>0</v>
      </c>
      <c r="K469" s="5">
        <v>22460.85</v>
      </c>
      <c r="L469" s="5">
        <v>19496.02</v>
      </c>
      <c r="M469" s="5">
        <v>2964.83</v>
      </c>
      <c r="N469">
        <f>YEAR(CleanedSalesData[[#This Row],[OrderDate]])</f>
        <v>2024</v>
      </c>
      <c r="O469">
        <f>MONTH(CleanedSalesData[[#This Row],[OrderDate]])</f>
        <v>4</v>
      </c>
      <c r="P469" t="str">
        <f>TEXT(CleanedSalesData[[#This Row],[OrderDate]], "yyyy-mm")</f>
        <v>2024-04</v>
      </c>
    </row>
    <row r="470" spans="1:16" x14ac:dyDescent="0.3">
      <c r="A470" s="3" t="s">
        <v>484</v>
      </c>
      <c r="B470" s="4">
        <v>45502</v>
      </c>
      <c r="C470" s="3" t="s">
        <v>516</v>
      </c>
      <c r="D470" s="3" t="s">
        <v>521</v>
      </c>
      <c r="E470" s="3" t="s">
        <v>568</v>
      </c>
      <c r="F470" s="3" t="s">
        <v>573</v>
      </c>
      <c r="G470" s="3" t="s">
        <v>582</v>
      </c>
      <c r="H470">
        <v>1</v>
      </c>
      <c r="I470" s="5">
        <v>17237.11</v>
      </c>
      <c r="J470">
        <v>0</v>
      </c>
      <c r="K470" s="5">
        <v>17237.11</v>
      </c>
      <c r="L470" s="5">
        <v>11652.29</v>
      </c>
      <c r="M470" s="5">
        <v>5584.82</v>
      </c>
      <c r="N470">
        <f>YEAR(CleanedSalesData[[#This Row],[OrderDate]])</f>
        <v>2024</v>
      </c>
      <c r="O470">
        <f>MONTH(CleanedSalesData[[#This Row],[OrderDate]])</f>
        <v>7</v>
      </c>
      <c r="P470" t="str">
        <f>TEXT(CleanedSalesData[[#This Row],[OrderDate]], "yyyy-mm")</f>
        <v>2024-07</v>
      </c>
    </row>
    <row r="471" spans="1:16" x14ac:dyDescent="0.3">
      <c r="A471" s="3" t="s">
        <v>485</v>
      </c>
      <c r="B471" s="4">
        <v>45432</v>
      </c>
      <c r="C471" s="3" t="s">
        <v>519</v>
      </c>
      <c r="D471" s="3" t="s">
        <v>526</v>
      </c>
      <c r="E471" s="3" t="s">
        <v>562</v>
      </c>
      <c r="F471" s="3" t="s">
        <v>572</v>
      </c>
      <c r="G471" s="3" t="s">
        <v>588</v>
      </c>
      <c r="H471">
        <v>1</v>
      </c>
      <c r="I471" s="5">
        <v>1580.28</v>
      </c>
      <c r="J471">
        <v>0</v>
      </c>
      <c r="K471" s="5">
        <v>1580.28</v>
      </c>
      <c r="L471" s="5">
        <v>1227.8800000000001</v>
      </c>
      <c r="M471" s="5">
        <v>352.4</v>
      </c>
      <c r="N471">
        <f>YEAR(CleanedSalesData[[#This Row],[OrderDate]])</f>
        <v>2024</v>
      </c>
      <c r="O471">
        <f>MONTH(CleanedSalesData[[#This Row],[OrderDate]])</f>
        <v>5</v>
      </c>
      <c r="P471" t="str">
        <f>TEXT(CleanedSalesData[[#This Row],[OrderDate]], "yyyy-mm")</f>
        <v>2024-05</v>
      </c>
    </row>
    <row r="472" spans="1:16" x14ac:dyDescent="0.3">
      <c r="A472" s="3" t="s">
        <v>486</v>
      </c>
      <c r="B472" s="4">
        <v>45496</v>
      </c>
      <c r="C472" s="3" t="s">
        <v>520</v>
      </c>
      <c r="D472" s="3" t="s">
        <v>528</v>
      </c>
      <c r="E472" s="3" t="s">
        <v>552</v>
      </c>
      <c r="F472" s="3" t="s">
        <v>573</v>
      </c>
      <c r="G472" s="3" t="s">
        <v>581</v>
      </c>
      <c r="H472">
        <v>1</v>
      </c>
      <c r="I472" s="5">
        <v>8793.08</v>
      </c>
      <c r="J472">
        <v>0.1</v>
      </c>
      <c r="K472" s="5">
        <v>7913.77</v>
      </c>
      <c r="L472" s="5">
        <v>6204.4</v>
      </c>
      <c r="M472" s="5">
        <v>1709.37</v>
      </c>
      <c r="N472">
        <f>YEAR(CleanedSalesData[[#This Row],[OrderDate]])</f>
        <v>2024</v>
      </c>
      <c r="O472">
        <f>MONTH(CleanedSalesData[[#This Row],[OrderDate]])</f>
        <v>7</v>
      </c>
      <c r="P472" t="str">
        <f>TEXT(CleanedSalesData[[#This Row],[OrderDate]], "yyyy-mm")</f>
        <v>2024-07</v>
      </c>
    </row>
    <row r="473" spans="1:16" x14ac:dyDescent="0.3">
      <c r="A473" s="3" t="s">
        <v>487</v>
      </c>
      <c r="B473" s="4">
        <v>45504</v>
      </c>
      <c r="C473" s="3" t="s">
        <v>519</v>
      </c>
      <c r="D473" s="3" t="s">
        <v>532</v>
      </c>
      <c r="E473" s="3" t="s">
        <v>564</v>
      </c>
      <c r="F473" s="3" t="s">
        <v>571</v>
      </c>
      <c r="G473" s="3" t="s">
        <v>575</v>
      </c>
      <c r="H473">
        <v>2</v>
      </c>
      <c r="I473" s="5">
        <v>54715.75</v>
      </c>
      <c r="J473">
        <v>0</v>
      </c>
      <c r="K473" s="5">
        <v>109431.5</v>
      </c>
      <c r="L473" s="5">
        <v>76711.48</v>
      </c>
      <c r="M473" s="5">
        <v>32720.02</v>
      </c>
      <c r="N473">
        <f>YEAR(CleanedSalesData[[#This Row],[OrderDate]])</f>
        <v>2024</v>
      </c>
      <c r="O473">
        <f>MONTH(CleanedSalesData[[#This Row],[OrderDate]])</f>
        <v>7</v>
      </c>
      <c r="P473" t="str">
        <f>TEXT(CleanedSalesData[[#This Row],[OrderDate]], "yyyy-mm")</f>
        <v>2024-07</v>
      </c>
    </row>
    <row r="474" spans="1:16" x14ac:dyDescent="0.3">
      <c r="A474" s="3" t="s">
        <v>488</v>
      </c>
      <c r="B474" s="4">
        <v>45879</v>
      </c>
      <c r="C474" s="3" t="s">
        <v>519</v>
      </c>
      <c r="D474" s="3" t="s">
        <v>533</v>
      </c>
      <c r="E474" s="3" t="s">
        <v>570</v>
      </c>
      <c r="F474" s="3" t="s">
        <v>573</v>
      </c>
      <c r="G474" s="3" t="s">
        <v>582</v>
      </c>
      <c r="H474">
        <v>1</v>
      </c>
      <c r="I474" s="5">
        <v>18641.96</v>
      </c>
      <c r="J474">
        <v>0.1</v>
      </c>
      <c r="K474" s="5">
        <v>16777.759999999998</v>
      </c>
      <c r="L474" s="5">
        <v>15888.54</v>
      </c>
      <c r="M474" s="5">
        <v>889.22</v>
      </c>
      <c r="N474">
        <f>YEAR(CleanedSalesData[[#This Row],[OrderDate]])</f>
        <v>2025</v>
      </c>
      <c r="O474">
        <f>MONTH(CleanedSalesData[[#This Row],[OrderDate]])</f>
        <v>8</v>
      </c>
      <c r="P474" t="str">
        <f>TEXT(CleanedSalesData[[#This Row],[OrderDate]], "yyyy-mm")</f>
        <v>2025-08</v>
      </c>
    </row>
    <row r="475" spans="1:16" x14ac:dyDescent="0.3">
      <c r="A475" s="3" t="s">
        <v>489</v>
      </c>
      <c r="B475" s="4">
        <v>45528</v>
      </c>
      <c r="C475" s="3" t="s">
        <v>519</v>
      </c>
      <c r="D475" s="3" t="s">
        <v>532</v>
      </c>
      <c r="E475" s="3" t="s">
        <v>554</v>
      </c>
      <c r="F475" s="3" t="s">
        <v>572</v>
      </c>
      <c r="G475" s="3" t="s">
        <v>588</v>
      </c>
      <c r="H475">
        <v>1</v>
      </c>
      <c r="I475" s="5">
        <v>244.63</v>
      </c>
      <c r="J475">
        <v>0.05</v>
      </c>
      <c r="K475" s="5">
        <v>232.4</v>
      </c>
      <c r="L475" s="5">
        <v>158.03</v>
      </c>
      <c r="M475" s="5">
        <v>74.37</v>
      </c>
      <c r="N475">
        <f>YEAR(CleanedSalesData[[#This Row],[OrderDate]])</f>
        <v>2024</v>
      </c>
      <c r="O475">
        <f>MONTH(CleanedSalesData[[#This Row],[OrderDate]])</f>
        <v>8</v>
      </c>
      <c r="P475" t="str">
        <f>TEXT(CleanedSalesData[[#This Row],[OrderDate]], "yyyy-mm")</f>
        <v>2024-08</v>
      </c>
    </row>
    <row r="476" spans="1:16" x14ac:dyDescent="0.3">
      <c r="A476" s="3" t="s">
        <v>490</v>
      </c>
      <c r="B476" s="4">
        <v>45589</v>
      </c>
      <c r="C476" s="3" t="s">
        <v>520</v>
      </c>
      <c r="D476" s="3" t="s">
        <v>535</v>
      </c>
      <c r="E476" s="3" t="s">
        <v>559</v>
      </c>
      <c r="F476" s="3" t="s">
        <v>573</v>
      </c>
      <c r="G476" s="3" t="s">
        <v>582</v>
      </c>
      <c r="H476">
        <v>3</v>
      </c>
      <c r="I476" s="5">
        <v>4184.96</v>
      </c>
      <c r="J476">
        <v>0</v>
      </c>
      <c r="K476" s="5">
        <v>12554.88</v>
      </c>
      <c r="L476" s="5">
        <v>9679.81</v>
      </c>
      <c r="M476" s="5">
        <v>2875.07</v>
      </c>
      <c r="N476">
        <f>YEAR(CleanedSalesData[[#This Row],[OrderDate]])</f>
        <v>2024</v>
      </c>
      <c r="O476">
        <f>MONTH(CleanedSalesData[[#This Row],[OrderDate]])</f>
        <v>10</v>
      </c>
      <c r="P476" t="str">
        <f>TEXT(CleanedSalesData[[#This Row],[OrderDate]], "yyyy-mm")</f>
        <v>2024-10</v>
      </c>
    </row>
    <row r="477" spans="1:16" x14ac:dyDescent="0.3">
      <c r="A477" s="3" t="s">
        <v>491</v>
      </c>
      <c r="B477" s="4">
        <v>45338</v>
      </c>
      <c r="C477" s="3" t="s">
        <v>516</v>
      </c>
      <c r="D477" s="3" t="s">
        <v>527</v>
      </c>
      <c r="E477" s="3" t="s">
        <v>546</v>
      </c>
      <c r="F477" s="3" t="s">
        <v>572</v>
      </c>
      <c r="G477" s="3" t="s">
        <v>577</v>
      </c>
      <c r="H477">
        <v>1</v>
      </c>
      <c r="I477" s="5">
        <v>1794.33</v>
      </c>
      <c r="J477">
        <v>0</v>
      </c>
      <c r="K477" s="5">
        <v>1794.33</v>
      </c>
      <c r="L477" s="5">
        <v>1345.75</v>
      </c>
      <c r="M477" s="5">
        <v>448.58</v>
      </c>
      <c r="N477">
        <f>YEAR(CleanedSalesData[[#This Row],[OrderDate]])</f>
        <v>2024</v>
      </c>
      <c r="O477">
        <f>MONTH(CleanedSalesData[[#This Row],[OrderDate]])</f>
        <v>2</v>
      </c>
      <c r="P477" t="str">
        <f>TEXT(CleanedSalesData[[#This Row],[OrderDate]], "yyyy-mm")</f>
        <v>2024-02</v>
      </c>
    </row>
    <row r="478" spans="1:16" x14ac:dyDescent="0.3">
      <c r="A478" s="3" t="s">
        <v>492</v>
      </c>
      <c r="B478" s="4">
        <v>45566</v>
      </c>
      <c r="C478" s="3" t="s">
        <v>516</v>
      </c>
      <c r="D478" s="3" t="s">
        <v>521</v>
      </c>
      <c r="E478" s="3" t="s">
        <v>568</v>
      </c>
      <c r="F478" s="3" t="s">
        <v>571</v>
      </c>
      <c r="G478" s="3" t="s">
        <v>575</v>
      </c>
      <c r="H478">
        <v>1</v>
      </c>
      <c r="I478" s="5">
        <v>33859.870000000003</v>
      </c>
      <c r="J478">
        <v>0</v>
      </c>
      <c r="K478" s="5">
        <v>33859.870000000003</v>
      </c>
      <c r="L478" s="5">
        <v>22889.27</v>
      </c>
      <c r="M478" s="5">
        <v>10970.6</v>
      </c>
      <c r="N478">
        <f>YEAR(CleanedSalesData[[#This Row],[OrderDate]])</f>
        <v>2024</v>
      </c>
      <c r="O478">
        <f>MONTH(CleanedSalesData[[#This Row],[OrderDate]])</f>
        <v>10</v>
      </c>
      <c r="P478" t="str">
        <f>TEXT(CleanedSalesData[[#This Row],[OrderDate]], "yyyy-mm")</f>
        <v>2024-10</v>
      </c>
    </row>
    <row r="479" spans="1:16" x14ac:dyDescent="0.3">
      <c r="A479" s="3" t="s">
        <v>493</v>
      </c>
      <c r="B479" s="4">
        <v>45570</v>
      </c>
      <c r="C479" s="3" t="s">
        <v>519</v>
      </c>
      <c r="D479" s="3" t="s">
        <v>534</v>
      </c>
      <c r="E479" s="3" t="s">
        <v>556</v>
      </c>
      <c r="F479" s="3" t="s">
        <v>573</v>
      </c>
      <c r="G479" s="3" t="s">
        <v>585</v>
      </c>
      <c r="H479">
        <v>1</v>
      </c>
      <c r="I479" s="5">
        <v>4600.3</v>
      </c>
      <c r="J479">
        <v>0</v>
      </c>
      <c r="K479" s="5">
        <v>4600.3</v>
      </c>
      <c r="L479" s="5">
        <v>3841.25</v>
      </c>
      <c r="M479" s="5">
        <v>759.05</v>
      </c>
      <c r="N479">
        <f>YEAR(CleanedSalesData[[#This Row],[OrderDate]])</f>
        <v>2024</v>
      </c>
      <c r="O479">
        <f>MONTH(CleanedSalesData[[#This Row],[OrderDate]])</f>
        <v>10</v>
      </c>
      <c r="P479" t="str">
        <f>TEXT(CleanedSalesData[[#This Row],[OrderDate]], "yyyy-mm")</f>
        <v>2024-10</v>
      </c>
    </row>
    <row r="480" spans="1:16" x14ac:dyDescent="0.3">
      <c r="A480" s="3" t="s">
        <v>494</v>
      </c>
      <c r="B480" s="4">
        <v>45352</v>
      </c>
      <c r="C480" s="3" t="s">
        <v>518</v>
      </c>
      <c r="D480" s="3" t="s">
        <v>537</v>
      </c>
      <c r="E480" s="3" t="s">
        <v>569</v>
      </c>
      <c r="F480" s="3" t="s">
        <v>573</v>
      </c>
      <c r="G480" s="3" t="s">
        <v>581</v>
      </c>
      <c r="H480">
        <v>1</v>
      </c>
      <c r="I480" s="5">
        <v>20452.09</v>
      </c>
      <c r="J480">
        <v>0</v>
      </c>
      <c r="K480" s="5">
        <v>20452.09</v>
      </c>
      <c r="L480" s="5">
        <v>19143.16</v>
      </c>
      <c r="M480" s="5">
        <v>1308.93</v>
      </c>
      <c r="N480">
        <f>YEAR(CleanedSalesData[[#This Row],[OrderDate]])</f>
        <v>2024</v>
      </c>
      <c r="O480">
        <f>MONTH(CleanedSalesData[[#This Row],[OrderDate]])</f>
        <v>3</v>
      </c>
      <c r="P480" t="str">
        <f>TEXT(CleanedSalesData[[#This Row],[OrderDate]], "yyyy-mm")</f>
        <v>2024-03</v>
      </c>
    </row>
    <row r="481" spans="1:16" x14ac:dyDescent="0.3">
      <c r="A481" s="3" t="s">
        <v>495</v>
      </c>
      <c r="B481" s="4">
        <v>45477</v>
      </c>
      <c r="C481" s="3" t="s">
        <v>517</v>
      </c>
      <c r="D481" s="3" t="s">
        <v>530</v>
      </c>
      <c r="E481" s="3" t="s">
        <v>549</v>
      </c>
      <c r="F481" s="3" t="s">
        <v>573</v>
      </c>
      <c r="G481" s="3" t="s">
        <v>582</v>
      </c>
      <c r="H481">
        <v>1</v>
      </c>
      <c r="I481" s="5">
        <v>21839.24</v>
      </c>
      <c r="J481">
        <v>0</v>
      </c>
      <c r="K481" s="5">
        <v>21839.24</v>
      </c>
      <c r="L481" s="5">
        <v>15920.81</v>
      </c>
      <c r="M481" s="5">
        <v>5918.43</v>
      </c>
      <c r="N481">
        <f>YEAR(CleanedSalesData[[#This Row],[OrderDate]])</f>
        <v>2024</v>
      </c>
      <c r="O481">
        <f>MONTH(CleanedSalesData[[#This Row],[OrderDate]])</f>
        <v>7</v>
      </c>
      <c r="P481" t="str">
        <f>TEXT(CleanedSalesData[[#This Row],[OrderDate]], "yyyy-mm")</f>
        <v>2024-07</v>
      </c>
    </row>
    <row r="482" spans="1:16" x14ac:dyDescent="0.3">
      <c r="A482" s="3" t="s">
        <v>496</v>
      </c>
      <c r="B482" s="4">
        <v>45425</v>
      </c>
      <c r="C482" s="3" t="s">
        <v>519</v>
      </c>
      <c r="D482" s="3" t="s">
        <v>534</v>
      </c>
      <c r="E482" s="3" t="s">
        <v>566</v>
      </c>
      <c r="F482" s="3" t="s">
        <v>572</v>
      </c>
      <c r="G482" s="3" t="s">
        <v>586</v>
      </c>
      <c r="H482">
        <v>1</v>
      </c>
      <c r="I482" s="5">
        <v>139.65</v>
      </c>
      <c r="J482">
        <v>0</v>
      </c>
      <c r="K482" s="5">
        <v>139.65</v>
      </c>
      <c r="L482" s="5">
        <v>107.39</v>
      </c>
      <c r="M482" s="5">
        <v>32.26</v>
      </c>
      <c r="N482">
        <f>YEAR(CleanedSalesData[[#This Row],[OrderDate]])</f>
        <v>2024</v>
      </c>
      <c r="O482">
        <f>MONTH(CleanedSalesData[[#This Row],[OrderDate]])</f>
        <v>5</v>
      </c>
      <c r="P482" t="str">
        <f>TEXT(CleanedSalesData[[#This Row],[OrderDate]], "yyyy-mm")</f>
        <v>2024-05</v>
      </c>
    </row>
    <row r="483" spans="1:16" x14ac:dyDescent="0.3">
      <c r="A483" s="3" t="s">
        <v>497</v>
      </c>
      <c r="B483" s="4">
        <v>45613</v>
      </c>
      <c r="C483" s="3" t="s">
        <v>516</v>
      </c>
      <c r="D483" s="3" t="s">
        <v>527</v>
      </c>
      <c r="E483" s="3" t="s">
        <v>558</v>
      </c>
      <c r="F483" s="3" t="s">
        <v>573</v>
      </c>
      <c r="G483" s="3" t="s">
        <v>584</v>
      </c>
      <c r="H483">
        <v>1</v>
      </c>
      <c r="I483" s="5">
        <v>17829.560000000001</v>
      </c>
      <c r="J483">
        <v>0</v>
      </c>
      <c r="K483" s="5">
        <v>17829.560000000001</v>
      </c>
      <c r="L483" s="5">
        <v>14852.02</v>
      </c>
      <c r="M483" s="5">
        <v>2977.54</v>
      </c>
      <c r="N483">
        <f>YEAR(CleanedSalesData[[#This Row],[OrderDate]])</f>
        <v>2024</v>
      </c>
      <c r="O483">
        <f>MONTH(CleanedSalesData[[#This Row],[OrderDate]])</f>
        <v>11</v>
      </c>
      <c r="P483" t="str">
        <f>TEXT(CleanedSalesData[[#This Row],[OrderDate]], "yyyy-mm")</f>
        <v>2024-11</v>
      </c>
    </row>
    <row r="484" spans="1:16" x14ac:dyDescent="0.3">
      <c r="A484" s="3" t="s">
        <v>498</v>
      </c>
      <c r="B484" s="4">
        <v>45735</v>
      </c>
      <c r="C484" s="3" t="s">
        <v>518</v>
      </c>
      <c r="D484" s="3" t="s">
        <v>529</v>
      </c>
      <c r="E484" s="3" t="s">
        <v>553</v>
      </c>
      <c r="F484" s="3" t="s">
        <v>573</v>
      </c>
      <c r="G484" s="3" t="s">
        <v>581</v>
      </c>
      <c r="H484">
        <v>1</v>
      </c>
      <c r="I484" s="5">
        <v>5419.05</v>
      </c>
      <c r="J484">
        <v>0</v>
      </c>
      <c r="K484" s="5">
        <v>5419.05</v>
      </c>
      <c r="L484" s="5">
        <v>4568.26</v>
      </c>
      <c r="M484" s="5">
        <v>850.79</v>
      </c>
      <c r="N484">
        <f>YEAR(CleanedSalesData[[#This Row],[OrderDate]])</f>
        <v>2025</v>
      </c>
      <c r="O484">
        <f>MONTH(CleanedSalesData[[#This Row],[OrderDate]])</f>
        <v>3</v>
      </c>
      <c r="P484" t="str">
        <f>TEXT(CleanedSalesData[[#This Row],[OrderDate]], "yyyy-mm")</f>
        <v>2025-03</v>
      </c>
    </row>
    <row r="485" spans="1:16" x14ac:dyDescent="0.3">
      <c r="A485" s="3" t="s">
        <v>499</v>
      </c>
      <c r="B485" s="4">
        <v>45347</v>
      </c>
      <c r="C485" s="3" t="s">
        <v>516</v>
      </c>
      <c r="D485" s="3" t="s">
        <v>527</v>
      </c>
      <c r="E485" s="3" t="s">
        <v>558</v>
      </c>
      <c r="F485" s="3" t="s">
        <v>572</v>
      </c>
      <c r="G485" s="3" t="s">
        <v>583</v>
      </c>
      <c r="H485">
        <v>2</v>
      </c>
      <c r="I485" s="5">
        <v>195.99</v>
      </c>
      <c r="J485">
        <v>0</v>
      </c>
      <c r="K485" s="5">
        <v>391.98</v>
      </c>
      <c r="L485" s="5">
        <v>337.49</v>
      </c>
      <c r="M485" s="5">
        <v>54.49</v>
      </c>
      <c r="N485">
        <f>YEAR(CleanedSalesData[[#This Row],[OrderDate]])</f>
        <v>2024</v>
      </c>
      <c r="O485">
        <f>MONTH(CleanedSalesData[[#This Row],[OrderDate]])</f>
        <v>2</v>
      </c>
      <c r="P485" t="str">
        <f>TEXT(CleanedSalesData[[#This Row],[OrderDate]], "yyyy-mm")</f>
        <v>2024-02</v>
      </c>
    </row>
    <row r="486" spans="1:16" x14ac:dyDescent="0.3">
      <c r="A486" s="3" t="s">
        <v>500</v>
      </c>
      <c r="B486" s="4">
        <v>45538</v>
      </c>
      <c r="C486" s="3" t="s">
        <v>520</v>
      </c>
      <c r="D486" s="3" t="s">
        <v>535</v>
      </c>
      <c r="E486" s="3" t="s">
        <v>565</v>
      </c>
      <c r="F486" s="3" t="s">
        <v>573</v>
      </c>
      <c r="G486" s="3" t="s">
        <v>585</v>
      </c>
      <c r="H486">
        <v>1</v>
      </c>
      <c r="I486" s="5">
        <v>14661.4</v>
      </c>
      <c r="J486">
        <v>0</v>
      </c>
      <c r="K486" s="5">
        <v>14661.4</v>
      </c>
      <c r="L486" s="5">
        <v>11831.75</v>
      </c>
      <c r="M486" s="5">
        <v>2829.65</v>
      </c>
      <c r="N486">
        <f>YEAR(CleanedSalesData[[#This Row],[OrderDate]])</f>
        <v>2024</v>
      </c>
      <c r="O486">
        <f>MONTH(CleanedSalesData[[#This Row],[OrderDate]])</f>
        <v>9</v>
      </c>
      <c r="P486" t="str">
        <f>TEXT(CleanedSalesData[[#This Row],[OrderDate]], "yyyy-mm")</f>
        <v>2024-09</v>
      </c>
    </row>
    <row r="487" spans="1:16" x14ac:dyDescent="0.3">
      <c r="A487" s="3" t="s">
        <v>501</v>
      </c>
      <c r="B487" s="4">
        <v>45532</v>
      </c>
      <c r="C487" s="3" t="s">
        <v>516</v>
      </c>
      <c r="D487" s="3" t="s">
        <v>522</v>
      </c>
      <c r="E487" s="3" t="s">
        <v>545</v>
      </c>
      <c r="F487" s="3" t="s">
        <v>573</v>
      </c>
      <c r="G487" s="3" t="s">
        <v>581</v>
      </c>
      <c r="H487">
        <v>2</v>
      </c>
      <c r="I487" s="5">
        <v>4024.46</v>
      </c>
      <c r="J487">
        <v>0</v>
      </c>
      <c r="K487" s="5">
        <v>8048.92</v>
      </c>
      <c r="L487" s="5">
        <v>5384.73</v>
      </c>
      <c r="M487" s="5">
        <v>2664.19</v>
      </c>
      <c r="N487">
        <f>YEAR(CleanedSalesData[[#This Row],[OrderDate]])</f>
        <v>2024</v>
      </c>
      <c r="O487">
        <f>MONTH(CleanedSalesData[[#This Row],[OrderDate]])</f>
        <v>8</v>
      </c>
      <c r="P487" t="str">
        <f>TEXT(CleanedSalesData[[#This Row],[OrderDate]], "yyyy-mm")</f>
        <v>2024-08</v>
      </c>
    </row>
    <row r="488" spans="1:16" x14ac:dyDescent="0.3">
      <c r="A488" s="3" t="s">
        <v>502</v>
      </c>
      <c r="B488" s="4">
        <v>45615</v>
      </c>
      <c r="C488" s="3" t="s">
        <v>516</v>
      </c>
      <c r="D488" s="3" t="s">
        <v>522</v>
      </c>
      <c r="E488" s="3" t="s">
        <v>539</v>
      </c>
      <c r="F488" s="3" t="s">
        <v>571</v>
      </c>
      <c r="G488" s="3" t="s">
        <v>576</v>
      </c>
      <c r="H488">
        <v>2</v>
      </c>
      <c r="I488" s="5">
        <v>34750.07</v>
      </c>
      <c r="J488">
        <v>0</v>
      </c>
      <c r="K488" s="5">
        <v>69500.14</v>
      </c>
      <c r="L488" s="5">
        <v>61577.120000000003</v>
      </c>
      <c r="M488" s="5">
        <v>7923.02</v>
      </c>
      <c r="N488">
        <f>YEAR(CleanedSalesData[[#This Row],[OrderDate]])</f>
        <v>2024</v>
      </c>
      <c r="O488">
        <f>MONTH(CleanedSalesData[[#This Row],[OrderDate]])</f>
        <v>11</v>
      </c>
      <c r="P488" t="str">
        <f>TEXT(CleanedSalesData[[#This Row],[OrderDate]], "yyyy-mm")</f>
        <v>2024-11</v>
      </c>
    </row>
    <row r="489" spans="1:16" x14ac:dyDescent="0.3">
      <c r="A489" s="3" t="s">
        <v>503</v>
      </c>
      <c r="B489" s="4">
        <v>45292</v>
      </c>
      <c r="C489" s="3" t="s">
        <v>516</v>
      </c>
      <c r="D489" s="3" t="s">
        <v>521</v>
      </c>
      <c r="E489" s="3" t="s">
        <v>538</v>
      </c>
      <c r="F489" s="3" t="s">
        <v>573</v>
      </c>
      <c r="G489" s="3" t="s">
        <v>581</v>
      </c>
      <c r="H489">
        <v>1</v>
      </c>
      <c r="I489" s="5">
        <v>23858.17</v>
      </c>
      <c r="J489">
        <v>0</v>
      </c>
      <c r="K489" s="5">
        <v>23858.17</v>
      </c>
      <c r="L489" s="5">
        <v>20780.47</v>
      </c>
      <c r="M489" s="5">
        <v>3077.7</v>
      </c>
      <c r="N489">
        <f>YEAR(CleanedSalesData[[#This Row],[OrderDate]])</f>
        <v>2024</v>
      </c>
      <c r="O489">
        <f>MONTH(CleanedSalesData[[#This Row],[OrderDate]])</f>
        <v>1</v>
      </c>
      <c r="P489" t="str">
        <f>TEXT(CleanedSalesData[[#This Row],[OrderDate]], "yyyy-mm")</f>
        <v>2024-01</v>
      </c>
    </row>
    <row r="490" spans="1:16" x14ac:dyDescent="0.3">
      <c r="A490" s="3" t="s">
        <v>504</v>
      </c>
      <c r="B490" s="4">
        <v>45347</v>
      </c>
      <c r="C490" s="3" t="s">
        <v>518</v>
      </c>
      <c r="D490" s="3" t="s">
        <v>529</v>
      </c>
      <c r="E490" s="3" t="s">
        <v>553</v>
      </c>
      <c r="F490" s="3" t="s">
        <v>573</v>
      </c>
      <c r="G490" s="3" t="s">
        <v>584</v>
      </c>
      <c r="H490">
        <v>1</v>
      </c>
      <c r="I490" s="5">
        <v>15798.88</v>
      </c>
      <c r="J490">
        <v>0</v>
      </c>
      <c r="K490" s="5">
        <v>15798.88</v>
      </c>
      <c r="L490" s="5">
        <v>14771.95</v>
      </c>
      <c r="M490" s="5">
        <v>1026.93</v>
      </c>
      <c r="N490">
        <f>YEAR(CleanedSalesData[[#This Row],[OrderDate]])</f>
        <v>2024</v>
      </c>
      <c r="O490">
        <f>MONTH(CleanedSalesData[[#This Row],[OrderDate]])</f>
        <v>2</v>
      </c>
      <c r="P490" t="str">
        <f>TEXT(CleanedSalesData[[#This Row],[OrderDate]], "yyyy-mm")</f>
        <v>2024-02</v>
      </c>
    </row>
    <row r="491" spans="1:16" x14ac:dyDescent="0.3">
      <c r="A491" s="3" t="s">
        <v>505</v>
      </c>
      <c r="B491" s="4">
        <v>45664</v>
      </c>
      <c r="C491" s="3" t="s">
        <v>519</v>
      </c>
      <c r="D491" s="3" t="s">
        <v>526</v>
      </c>
      <c r="E491" s="3" t="s">
        <v>562</v>
      </c>
      <c r="F491" s="3" t="s">
        <v>573</v>
      </c>
      <c r="G491" s="3" t="s">
        <v>585</v>
      </c>
      <c r="H491">
        <v>1</v>
      </c>
      <c r="I491" s="5">
        <v>2050.5300000000002</v>
      </c>
      <c r="J491">
        <v>0</v>
      </c>
      <c r="K491" s="5">
        <v>2050.5300000000002</v>
      </c>
      <c r="L491" s="5">
        <v>1580.96</v>
      </c>
      <c r="M491" s="5">
        <v>469.57</v>
      </c>
      <c r="N491">
        <f>YEAR(CleanedSalesData[[#This Row],[OrderDate]])</f>
        <v>2025</v>
      </c>
      <c r="O491">
        <f>MONTH(CleanedSalesData[[#This Row],[OrderDate]])</f>
        <v>1</v>
      </c>
      <c r="P491" t="str">
        <f>TEXT(CleanedSalesData[[#This Row],[OrderDate]], "yyyy-mm")</f>
        <v>2025-01</v>
      </c>
    </row>
    <row r="492" spans="1:16" x14ac:dyDescent="0.3">
      <c r="A492" s="3" t="s">
        <v>506</v>
      </c>
      <c r="B492" s="4">
        <v>45590</v>
      </c>
      <c r="C492" s="3" t="s">
        <v>517</v>
      </c>
      <c r="D492" s="3" t="s">
        <v>531</v>
      </c>
      <c r="E492" s="3" t="s">
        <v>551</v>
      </c>
      <c r="F492" s="3" t="s">
        <v>571</v>
      </c>
      <c r="G492" s="3" t="s">
        <v>574</v>
      </c>
      <c r="H492">
        <v>1</v>
      </c>
      <c r="I492" s="5">
        <v>40916.5</v>
      </c>
      <c r="J492">
        <v>0</v>
      </c>
      <c r="K492" s="5">
        <v>40916.5</v>
      </c>
      <c r="L492" s="5">
        <v>29418.959999999999</v>
      </c>
      <c r="M492" s="5">
        <v>11497.54</v>
      </c>
      <c r="N492">
        <f>YEAR(CleanedSalesData[[#This Row],[OrderDate]])</f>
        <v>2024</v>
      </c>
      <c r="O492">
        <f>MONTH(CleanedSalesData[[#This Row],[OrderDate]])</f>
        <v>10</v>
      </c>
      <c r="P492" t="str">
        <f>TEXT(CleanedSalesData[[#This Row],[OrderDate]], "yyyy-mm")</f>
        <v>2024-10</v>
      </c>
    </row>
    <row r="493" spans="1:16" x14ac:dyDescent="0.3">
      <c r="A493" s="3" t="s">
        <v>507</v>
      </c>
      <c r="B493" s="4">
        <v>45711</v>
      </c>
      <c r="C493" s="3" t="s">
        <v>516</v>
      </c>
      <c r="D493" s="3" t="s">
        <v>521</v>
      </c>
      <c r="E493" s="3" t="s">
        <v>538</v>
      </c>
      <c r="F493" s="3" t="s">
        <v>571</v>
      </c>
      <c r="G493" s="3" t="s">
        <v>575</v>
      </c>
      <c r="H493">
        <v>1</v>
      </c>
      <c r="I493" s="5">
        <v>74626.649999999994</v>
      </c>
      <c r="J493">
        <v>0</v>
      </c>
      <c r="K493" s="5">
        <v>74626.649999999994</v>
      </c>
      <c r="L493" s="5">
        <v>69178.899999999994</v>
      </c>
      <c r="M493" s="5">
        <v>5447.75</v>
      </c>
      <c r="N493">
        <f>YEAR(CleanedSalesData[[#This Row],[OrderDate]])</f>
        <v>2025</v>
      </c>
      <c r="O493">
        <f>MONTH(CleanedSalesData[[#This Row],[OrderDate]])</f>
        <v>2</v>
      </c>
      <c r="P493" t="str">
        <f>TEXT(CleanedSalesData[[#This Row],[OrderDate]], "yyyy-mm")</f>
        <v>2025-02</v>
      </c>
    </row>
    <row r="494" spans="1:16" x14ac:dyDescent="0.3">
      <c r="A494" s="3" t="s">
        <v>508</v>
      </c>
      <c r="B494" s="4">
        <v>45760</v>
      </c>
      <c r="C494" s="3" t="s">
        <v>518</v>
      </c>
      <c r="D494" s="3" t="s">
        <v>524</v>
      </c>
      <c r="E494" s="3" t="s">
        <v>541</v>
      </c>
      <c r="F494" s="3" t="s">
        <v>571</v>
      </c>
      <c r="G494" s="3" t="s">
        <v>576</v>
      </c>
      <c r="H494">
        <v>2</v>
      </c>
      <c r="I494" s="5">
        <v>6580.53</v>
      </c>
      <c r="J494">
        <v>0</v>
      </c>
      <c r="K494" s="5">
        <v>13161.06</v>
      </c>
      <c r="L494" s="5">
        <v>10542.01</v>
      </c>
      <c r="M494" s="5">
        <v>2619.0500000000002</v>
      </c>
      <c r="N494">
        <f>YEAR(CleanedSalesData[[#This Row],[OrderDate]])</f>
        <v>2025</v>
      </c>
      <c r="O494">
        <f>MONTH(CleanedSalesData[[#This Row],[OrderDate]])</f>
        <v>4</v>
      </c>
      <c r="P494" t="str">
        <f>TEXT(CleanedSalesData[[#This Row],[OrderDate]], "yyyy-mm")</f>
        <v>2025-04</v>
      </c>
    </row>
    <row r="495" spans="1:16" x14ac:dyDescent="0.3">
      <c r="A495" s="3" t="s">
        <v>509</v>
      </c>
      <c r="B495" s="4">
        <v>45894</v>
      </c>
      <c r="C495" s="3" t="s">
        <v>516</v>
      </c>
      <c r="D495" s="3" t="s">
        <v>522</v>
      </c>
      <c r="E495" s="3" t="s">
        <v>545</v>
      </c>
      <c r="F495" s="3" t="s">
        <v>573</v>
      </c>
      <c r="G495" s="3" t="s">
        <v>584</v>
      </c>
      <c r="H495">
        <v>2</v>
      </c>
      <c r="I495" s="5">
        <v>23992.38</v>
      </c>
      <c r="J495">
        <v>0.1</v>
      </c>
      <c r="K495" s="5">
        <v>43186.28</v>
      </c>
      <c r="L495" s="5">
        <v>35412.75</v>
      </c>
      <c r="M495" s="5">
        <v>7773.53</v>
      </c>
      <c r="N495">
        <f>YEAR(CleanedSalesData[[#This Row],[OrderDate]])</f>
        <v>2025</v>
      </c>
      <c r="O495">
        <f>MONTH(CleanedSalesData[[#This Row],[OrderDate]])</f>
        <v>8</v>
      </c>
      <c r="P495" t="str">
        <f>TEXT(CleanedSalesData[[#This Row],[OrderDate]], "yyyy-mm")</f>
        <v>2025-08</v>
      </c>
    </row>
    <row r="496" spans="1:16" x14ac:dyDescent="0.3">
      <c r="A496" s="3" t="s">
        <v>510</v>
      </c>
      <c r="B496" s="4">
        <v>45296</v>
      </c>
      <c r="C496" s="3" t="s">
        <v>517</v>
      </c>
      <c r="D496" s="3" t="s">
        <v>536</v>
      </c>
      <c r="E496" s="3" t="s">
        <v>560</v>
      </c>
      <c r="F496" s="3" t="s">
        <v>573</v>
      </c>
      <c r="G496" s="3" t="s">
        <v>581</v>
      </c>
      <c r="H496">
        <v>1</v>
      </c>
      <c r="I496" s="5">
        <v>23260.53</v>
      </c>
      <c r="J496">
        <v>0</v>
      </c>
      <c r="K496" s="5">
        <v>23260.53</v>
      </c>
      <c r="L496" s="5">
        <v>16375.41</v>
      </c>
      <c r="M496" s="5">
        <v>6885.12</v>
      </c>
      <c r="N496">
        <f>YEAR(CleanedSalesData[[#This Row],[OrderDate]])</f>
        <v>2024</v>
      </c>
      <c r="O496">
        <f>MONTH(CleanedSalesData[[#This Row],[OrderDate]])</f>
        <v>1</v>
      </c>
      <c r="P496" t="str">
        <f>TEXT(CleanedSalesData[[#This Row],[OrderDate]], "yyyy-mm")</f>
        <v>2024-01</v>
      </c>
    </row>
    <row r="497" spans="1:16" x14ac:dyDescent="0.3">
      <c r="A497" s="3" t="s">
        <v>511</v>
      </c>
      <c r="B497" s="4">
        <v>45473</v>
      </c>
      <c r="C497" s="3" t="s">
        <v>517</v>
      </c>
      <c r="D497" s="3" t="s">
        <v>523</v>
      </c>
      <c r="E497" s="3" t="s">
        <v>544</v>
      </c>
      <c r="F497" s="3" t="s">
        <v>571</v>
      </c>
      <c r="G497" s="3" t="s">
        <v>576</v>
      </c>
      <c r="H497">
        <v>2</v>
      </c>
      <c r="I497" s="5">
        <v>53629.18</v>
      </c>
      <c r="J497">
        <v>0</v>
      </c>
      <c r="K497" s="5">
        <v>107258.36</v>
      </c>
      <c r="L497" s="5">
        <v>79585.7</v>
      </c>
      <c r="M497" s="5">
        <v>27672.66</v>
      </c>
      <c r="N497">
        <f>YEAR(CleanedSalesData[[#This Row],[OrderDate]])</f>
        <v>2024</v>
      </c>
      <c r="O497">
        <f>MONTH(CleanedSalesData[[#This Row],[OrderDate]])</f>
        <v>6</v>
      </c>
      <c r="P497" t="str">
        <f>TEXT(CleanedSalesData[[#This Row],[OrderDate]], "yyyy-mm")</f>
        <v>2024-06</v>
      </c>
    </row>
    <row r="498" spans="1:16" x14ac:dyDescent="0.3">
      <c r="A498" s="3" t="s">
        <v>512</v>
      </c>
      <c r="B498" s="4">
        <v>45621</v>
      </c>
      <c r="C498" s="3" t="s">
        <v>517</v>
      </c>
      <c r="D498" s="3" t="s">
        <v>530</v>
      </c>
      <c r="E498" s="3" t="s">
        <v>549</v>
      </c>
      <c r="F498" s="3" t="s">
        <v>573</v>
      </c>
      <c r="G498" s="3" t="s">
        <v>585</v>
      </c>
      <c r="H498">
        <v>1</v>
      </c>
      <c r="I498" s="5">
        <v>8292.7099999999991</v>
      </c>
      <c r="J498">
        <v>0</v>
      </c>
      <c r="K498" s="5">
        <v>8292.7099999999991</v>
      </c>
      <c r="L498" s="5">
        <v>6410.26</v>
      </c>
      <c r="M498" s="5">
        <v>1882.45</v>
      </c>
      <c r="N498">
        <f>YEAR(CleanedSalesData[[#This Row],[OrderDate]])</f>
        <v>2024</v>
      </c>
      <c r="O498">
        <f>MONTH(CleanedSalesData[[#This Row],[OrderDate]])</f>
        <v>11</v>
      </c>
      <c r="P498" t="str">
        <f>TEXT(CleanedSalesData[[#This Row],[OrderDate]], "yyyy-mm")</f>
        <v>2024-11</v>
      </c>
    </row>
    <row r="499" spans="1:16" x14ac:dyDescent="0.3">
      <c r="A499" s="3" t="s">
        <v>513</v>
      </c>
      <c r="B499" s="4">
        <v>45593</v>
      </c>
      <c r="C499" s="3" t="s">
        <v>519</v>
      </c>
      <c r="D499" s="3" t="s">
        <v>533</v>
      </c>
      <c r="E499" s="3" t="s">
        <v>570</v>
      </c>
      <c r="F499" s="3" t="s">
        <v>572</v>
      </c>
      <c r="G499" s="3" t="s">
        <v>587</v>
      </c>
      <c r="H499">
        <v>1</v>
      </c>
      <c r="I499" s="5">
        <v>1415.03</v>
      </c>
      <c r="J499">
        <v>0</v>
      </c>
      <c r="K499" s="5">
        <v>1415.03</v>
      </c>
      <c r="L499" s="5">
        <v>1306.07</v>
      </c>
      <c r="M499" s="5">
        <v>108.96</v>
      </c>
      <c r="N499">
        <f>YEAR(CleanedSalesData[[#This Row],[OrderDate]])</f>
        <v>2024</v>
      </c>
      <c r="O499">
        <f>MONTH(CleanedSalesData[[#This Row],[OrderDate]])</f>
        <v>10</v>
      </c>
      <c r="P499" t="str">
        <f>TEXT(CleanedSalesData[[#This Row],[OrderDate]], "yyyy-mm")</f>
        <v>2024-10</v>
      </c>
    </row>
    <row r="500" spans="1:16" x14ac:dyDescent="0.3">
      <c r="A500" s="3" t="s">
        <v>514</v>
      </c>
      <c r="B500" s="4">
        <v>45598</v>
      </c>
      <c r="C500" s="3" t="s">
        <v>517</v>
      </c>
      <c r="D500" s="3" t="s">
        <v>531</v>
      </c>
      <c r="E500" s="3" t="s">
        <v>551</v>
      </c>
      <c r="F500" s="3" t="s">
        <v>571</v>
      </c>
      <c r="G500" s="3" t="s">
        <v>574</v>
      </c>
      <c r="H500">
        <v>3</v>
      </c>
      <c r="I500" s="5">
        <v>51060.9</v>
      </c>
      <c r="J500">
        <v>0</v>
      </c>
      <c r="K500" s="5">
        <v>153182.70000000001</v>
      </c>
      <c r="L500" s="5">
        <v>139243.07</v>
      </c>
      <c r="M500" s="5">
        <v>13939.63</v>
      </c>
      <c r="N500">
        <f>YEAR(CleanedSalesData[[#This Row],[OrderDate]])</f>
        <v>2024</v>
      </c>
      <c r="O500">
        <f>MONTH(CleanedSalesData[[#This Row],[OrderDate]])</f>
        <v>11</v>
      </c>
      <c r="P500" t="str">
        <f>TEXT(CleanedSalesData[[#This Row],[OrderDate]], "yyyy-mm")</f>
        <v>2024-11</v>
      </c>
    </row>
    <row r="501" spans="1:16" x14ac:dyDescent="0.3">
      <c r="A501" s="3" t="s">
        <v>515</v>
      </c>
      <c r="B501" s="4">
        <v>45645</v>
      </c>
      <c r="C501" s="3" t="s">
        <v>518</v>
      </c>
      <c r="D501" s="3" t="s">
        <v>524</v>
      </c>
      <c r="E501" s="3" t="s">
        <v>550</v>
      </c>
      <c r="F501" s="3" t="s">
        <v>573</v>
      </c>
      <c r="G501" s="3" t="s">
        <v>584</v>
      </c>
      <c r="H501">
        <v>4</v>
      </c>
      <c r="I501" s="5">
        <v>17969.18</v>
      </c>
      <c r="J501">
        <v>0</v>
      </c>
      <c r="K501" s="5">
        <v>71876.72</v>
      </c>
      <c r="L501" s="5">
        <v>58651.4</v>
      </c>
      <c r="M501" s="5">
        <v>13225.32</v>
      </c>
      <c r="N501">
        <f>YEAR(CleanedSalesData[[#This Row],[OrderDate]])</f>
        <v>2024</v>
      </c>
      <c r="O501">
        <f>MONTH(CleanedSalesData[[#This Row],[OrderDate]])</f>
        <v>12</v>
      </c>
      <c r="P501" t="str">
        <f>TEXT(CleanedSalesData[[#This Row],[OrderDate]], "yyyy-mm")</f>
        <v>2024-12</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1A487-3A5C-493A-84DA-80F01C5588FD}">
  <dimension ref="A1:F72"/>
  <sheetViews>
    <sheetView workbookViewId="0">
      <selection activeCell="J14" sqref="J14"/>
    </sheetView>
  </sheetViews>
  <sheetFormatPr defaultRowHeight="14.4" x14ac:dyDescent="0.3"/>
  <cols>
    <col min="1" max="1" width="21.5546875" bestFit="1" customWidth="1"/>
    <col min="2" max="2" width="14.77734375" bestFit="1" customWidth="1"/>
    <col min="3" max="3" width="13.21875" bestFit="1" customWidth="1"/>
    <col min="4" max="4" width="6.5546875" bestFit="1" customWidth="1"/>
    <col min="5" max="5" width="18.5546875" bestFit="1" customWidth="1"/>
    <col min="6" max="6" width="14.109375" bestFit="1" customWidth="1"/>
  </cols>
  <sheetData>
    <row r="1" spans="1:6" ht="21" x14ac:dyDescent="0.4">
      <c r="A1" s="10" t="s">
        <v>615</v>
      </c>
    </row>
    <row r="3" spans="1:6" x14ac:dyDescent="0.3">
      <c r="A3" s="6" t="s">
        <v>609</v>
      </c>
      <c r="B3" s="6" t="s">
        <v>610</v>
      </c>
      <c r="C3" s="6" t="s">
        <v>612</v>
      </c>
      <c r="D3" s="6" t="s">
        <v>611</v>
      </c>
      <c r="E3" s="6" t="s">
        <v>614</v>
      </c>
      <c r="F3" s="6" t="s">
        <v>613</v>
      </c>
    </row>
    <row r="4" spans="1:6" x14ac:dyDescent="0.3">
      <c r="A4" s="7">
        <v>13596442.059999997</v>
      </c>
      <c r="B4" s="7">
        <v>2767481.9700000007</v>
      </c>
      <c r="C4" s="8">
        <v>768</v>
      </c>
      <c r="D4" s="8">
        <v>500</v>
      </c>
      <c r="E4" s="7">
        <v>27192.884119999995</v>
      </c>
      <c r="F4" s="9">
        <v>0.20354457127734793</v>
      </c>
    </row>
    <row r="7" spans="1:6" ht="21" x14ac:dyDescent="0.4">
      <c r="A7" s="10" t="s">
        <v>616</v>
      </c>
    </row>
    <row r="9" spans="1:6" x14ac:dyDescent="0.3">
      <c r="A9" s="11" t="s">
        <v>15</v>
      </c>
      <c r="B9" t="s">
        <v>609</v>
      </c>
    </row>
    <row r="10" spans="1:6" x14ac:dyDescent="0.3">
      <c r="A10" s="12" t="s">
        <v>591</v>
      </c>
      <c r="B10" s="5">
        <v>599905.39</v>
      </c>
    </row>
    <row r="11" spans="1:6" x14ac:dyDescent="0.3">
      <c r="A11" s="12" t="s">
        <v>593</v>
      </c>
      <c r="B11" s="5">
        <v>761728.8</v>
      </c>
    </row>
    <row r="12" spans="1:6" x14ac:dyDescent="0.3">
      <c r="A12" s="12" t="s">
        <v>602</v>
      </c>
      <c r="B12" s="5">
        <v>279038.21999999997</v>
      </c>
    </row>
    <row r="13" spans="1:6" x14ac:dyDescent="0.3">
      <c r="A13" s="12" t="s">
        <v>589</v>
      </c>
      <c r="B13" s="5">
        <v>1045480.0199999999</v>
      </c>
    </row>
    <row r="14" spans="1:6" x14ac:dyDescent="0.3">
      <c r="A14" s="12" t="s">
        <v>605</v>
      </c>
      <c r="B14" s="5">
        <v>383992.72000000009</v>
      </c>
    </row>
    <row r="15" spans="1:6" x14ac:dyDescent="0.3">
      <c r="A15" s="12" t="s">
        <v>607</v>
      </c>
      <c r="B15" s="5">
        <v>913185.83000000007</v>
      </c>
    </row>
    <row r="16" spans="1:6" x14ac:dyDescent="0.3">
      <c r="A16" s="12" t="s">
        <v>600</v>
      </c>
      <c r="B16" s="5">
        <v>745486.87000000011</v>
      </c>
    </row>
    <row r="17" spans="1:2" x14ac:dyDescent="0.3">
      <c r="A17" s="12" t="s">
        <v>595</v>
      </c>
      <c r="B17" s="5">
        <v>486740.6100000001</v>
      </c>
    </row>
    <row r="18" spans="1:2" x14ac:dyDescent="0.3">
      <c r="A18" s="12" t="s">
        <v>596</v>
      </c>
      <c r="B18" s="5">
        <v>481479.00000000006</v>
      </c>
    </row>
    <row r="19" spans="1:2" x14ac:dyDescent="0.3">
      <c r="A19" s="12" t="s">
        <v>608</v>
      </c>
      <c r="B19" s="5">
        <v>572395.96000000008</v>
      </c>
    </row>
    <row r="20" spans="1:2" x14ac:dyDescent="0.3">
      <c r="A20" s="12" t="s">
        <v>603</v>
      </c>
      <c r="B20" s="5">
        <v>954450.29</v>
      </c>
    </row>
    <row r="21" spans="1:2" x14ac:dyDescent="0.3">
      <c r="A21" s="12" t="s">
        <v>592</v>
      </c>
      <c r="B21" s="5">
        <v>655749.75</v>
      </c>
    </row>
    <row r="22" spans="1:2" x14ac:dyDescent="0.3">
      <c r="A22" s="12" t="s">
        <v>594</v>
      </c>
      <c r="B22" s="5">
        <v>839199.6100000001</v>
      </c>
    </row>
    <row r="23" spans="1:2" x14ac:dyDescent="0.3">
      <c r="A23" s="12" t="s">
        <v>597</v>
      </c>
      <c r="B23" s="5">
        <v>691576.1399999999</v>
      </c>
    </row>
    <row r="24" spans="1:2" x14ac:dyDescent="0.3">
      <c r="A24" s="12" t="s">
        <v>599</v>
      </c>
      <c r="B24" s="5">
        <v>673445.11999999988</v>
      </c>
    </row>
    <row r="25" spans="1:2" x14ac:dyDescent="0.3">
      <c r="A25" s="12" t="s">
        <v>598</v>
      </c>
      <c r="B25" s="5">
        <v>661175.71000000008</v>
      </c>
    </row>
    <row r="26" spans="1:2" x14ac:dyDescent="0.3">
      <c r="A26" s="12" t="s">
        <v>601</v>
      </c>
      <c r="B26" s="5">
        <v>351154.07</v>
      </c>
    </row>
    <row r="27" spans="1:2" x14ac:dyDescent="0.3">
      <c r="A27" s="12" t="s">
        <v>606</v>
      </c>
      <c r="B27" s="5">
        <v>776788.59</v>
      </c>
    </row>
    <row r="28" spans="1:2" x14ac:dyDescent="0.3">
      <c r="A28" s="12" t="s">
        <v>590</v>
      </c>
      <c r="B28" s="5">
        <v>1074559.1299999999</v>
      </c>
    </row>
    <row r="29" spans="1:2" x14ac:dyDescent="0.3">
      <c r="A29" s="12" t="s">
        <v>604</v>
      </c>
      <c r="B29" s="5">
        <v>648910.23</v>
      </c>
    </row>
    <row r="30" spans="1:2" x14ac:dyDescent="0.3">
      <c r="A30" s="12" t="s">
        <v>617</v>
      </c>
      <c r="B30" s="5">
        <v>13596442.060000002</v>
      </c>
    </row>
    <row r="33" spans="1:3" ht="21" x14ac:dyDescent="0.4">
      <c r="A33" s="13" t="s">
        <v>619</v>
      </c>
    </row>
    <row r="35" spans="1:3" x14ac:dyDescent="0.3">
      <c r="A35" s="11" t="s">
        <v>2</v>
      </c>
      <c r="B35" t="s">
        <v>609</v>
      </c>
      <c r="C35" t="s">
        <v>610</v>
      </c>
    </row>
    <row r="36" spans="1:3" x14ac:dyDescent="0.3">
      <c r="A36" s="12" t="s">
        <v>520</v>
      </c>
      <c r="B36" s="5">
        <v>2831458.3299999996</v>
      </c>
      <c r="C36" s="5">
        <v>644986.42000000027</v>
      </c>
    </row>
    <row r="37" spans="1:3" x14ac:dyDescent="0.3">
      <c r="A37" s="12" t="s">
        <v>516</v>
      </c>
      <c r="B37" s="5">
        <v>2962417.2699999991</v>
      </c>
      <c r="C37" s="5">
        <v>633536.46999999974</v>
      </c>
    </row>
    <row r="38" spans="1:3" x14ac:dyDescent="0.3">
      <c r="A38" s="12" t="s">
        <v>517</v>
      </c>
      <c r="B38" s="5">
        <v>3030204.0999999992</v>
      </c>
      <c r="C38" s="5">
        <v>511019.75000000006</v>
      </c>
    </row>
    <row r="39" spans="1:3" x14ac:dyDescent="0.3">
      <c r="A39" s="12" t="s">
        <v>519</v>
      </c>
      <c r="B39" s="5">
        <v>1925323.9099999997</v>
      </c>
      <c r="C39" s="5">
        <v>432431.13000000006</v>
      </c>
    </row>
    <row r="40" spans="1:3" x14ac:dyDescent="0.3">
      <c r="A40" s="12" t="s">
        <v>518</v>
      </c>
      <c r="B40" s="5">
        <v>2847038.45</v>
      </c>
      <c r="C40" s="5">
        <v>545508.20000000007</v>
      </c>
    </row>
    <row r="41" spans="1:3" x14ac:dyDescent="0.3">
      <c r="A41" s="12" t="s">
        <v>617</v>
      </c>
      <c r="B41" s="5">
        <v>13596442.059999999</v>
      </c>
      <c r="C41" s="5">
        <v>2767481.97</v>
      </c>
    </row>
    <row r="44" spans="1:3" ht="21" x14ac:dyDescent="0.4">
      <c r="A44" s="13" t="s">
        <v>620</v>
      </c>
    </row>
    <row r="46" spans="1:3" x14ac:dyDescent="0.3">
      <c r="A46" s="11" t="s">
        <v>5</v>
      </c>
      <c r="B46" t="s">
        <v>609</v>
      </c>
    </row>
    <row r="47" spans="1:3" x14ac:dyDescent="0.3">
      <c r="A47" s="12" t="s">
        <v>573</v>
      </c>
      <c r="B47" s="5">
        <v>3759111.3599999975</v>
      </c>
    </row>
    <row r="48" spans="1:3" x14ac:dyDescent="0.3">
      <c r="A48" s="12" t="s">
        <v>572</v>
      </c>
      <c r="B48" s="5">
        <v>229502.40999999989</v>
      </c>
    </row>
    <row r="49" spans="1:2" x14ac:dyDescent="0.3">
      <c r="A49" s="12" t="s">
        <v>571</v>
      </c>
      <c r="B49" s="5">
        <v>9607828.2899999972</v>
      </c>
    </row>
    <row r="50" spans="1:2" x14ac:dyDescent="0.3">
      <c r="A50" s="12" t="s">
        <v>617</v>
      </c>
      <c r="B50" s="5">
        <v>13596442.059999995</v>
      </c>
    </row>
    <row r="52" spans="1:2" x14ac:dyDescent="0.3">
      <c r="A52" s="11" t="s">
        <v>5</v>
      </c>
      <c r="B52" t="s">
        <v>610</v>
      </c>
    </row>
    <row r="53" spans="1:2" x14ac:dyDescent="0.3">
      <c r="A53" s="12" t="s">
        <v>573</v>
      </c>
      <c r="B53" s="5">
        <v>793041.49000000011</v>
      </c>
    </row>
    <row r="54" spans="1:2" x14ac:dyDescent="0.3">
      <c r="A54" s="12" t="s">
        <v>572</v>
      </c>
      <c r="B54" s="5">
        <v>47969.710000000021</v>
      </c>
    </row>
    <row r="55" spans="1:2" x14ac:dyDescent="0.3">
      <c r="A55" s="12" t="s">
        <v>571</v>
      </c>
      <c r="B55" s="5">
        <v>1926470.7700000007</v>
      </c>
    </row>
    <row r="56" spans="1:2" x14ac:dyDescent="0.3">
      <c r="A56" s="12" t="s">
        <v>617</v>
      </c>
      <c r="B56" s="5">
        <v>2767481.9700000007</v>
      </c>
    </row>
    <row r="59" spans="1:2" ht="21" x14ac:dyDescent="0.4">
      <c r="A59" s="13" t="s">
        <v>621</v>
      </c>
    </row>
    <row r="61" spans="1:2" x14ac:dyDescent="0.3">
      <c r="A61" s="11" t="s">
        <v>6</v>
      </c>
      <c r="B61" t="s">
        <v>609</v>
      </c>
    </row>
    <row r="62" spans="1:2" x14ac:dyDescent="0.3">
      <c r="A62" s="12" t="s">
        <v>579</v>
      </c>
      <c r="B62" s="5">
        <v>2599107.9000000008</v>
      </c>
    </row>
    <row r="63" spans="1:2" x14ac:dyDescent="0.3">
      <c r="A63" s="12" t="s">
        <v>574</v>
      </c>
      <c r="B63" s="5">
        <v>2490104.75</v>
      </c>
    </row>
    <row r="64" spans="1:2" x14ac:dyDescent="0.3">
      <c r="A64" s="12" t="s">
        <v>578</v>
      </c>
      <c r="B64" s="5">
        <v>1645392.8799999997</v>
      </c>
    </row>
    <row r="65" spans="1:2" x14ac:dyDescent="0.3">
      <c r="A65" s="12" t="s">
        <v>576</v>
      </c>
      <c r="B65" s="5">
        <v>1592891.9800000002</v>
      </c>
    </row>
    <row r="66" spans="1:2" x14ac:dyDescent="0.3">
      <c r="A66" s="12" t="s">
        <v>575</v>
      </c>
      <c r="B66" s="5">
        <v>1280330.78</v>
      </c>
    </row>
    <row r="67" spans="1:2" x14ac:dyDescent="0.3">
      <c r="A67" s="12" t="s">
        <v>584</v>
      </c>
      <c r="B67" s="5">
        <v>1065189.81</v>
      </c>
    </row>
    <row r="68" spans="1:2" x14ac:dyDescent="0.3">
      <c r="A68" s="12" t="s">
        <v>580</v>
      </c>
      <c r="B68" s="5">
        <v>729556.85999999975</v>
      </c>
    </row>
    <row r="69" spans="1:2" x14ac:dyDescent="0.3">
      <c r="A69" s="12" t="s">
        <v>581</v>
      </c>
      <c r="B69" s="5">
        <v>715290.99000000011</v>
      </c>
    </row>
    <row r="70" spans="1:2" x14ac:dyDescent="0.3">
      <c r="A70" s="12" t="s">
        <v>582</v>
      </c>
      <c r="B70" s="5">
        <v>633516.64999999991</v>
      </c>
    </row>
    <row r="71" spans="1:2" x14ac:dyDescent="0.3">
      <c r="A71" s="12" t="s">
        <v>585</v>
      </c>
      <c r="B71" s="5">
        <v>615557.05000000005</v>
      </c>
    </row>
    <row r="72" spans="1:2" x14ac:dyDescent="0.3">
      <c r="A72" s="12" t="s">
        <v>617</v>
      </c>
      <c r="B72" s="5">
        <v>13366939.650000002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9262B-01CF-4478-9AE6-2EA859FD1567}">
  <dimension ref="A1:F1"/>
  <sheetViews>
    <sheetView showGridLines="0" tabSelected="1" zoomScale="80" zoomScaleNormal="80" workbookViewId="0">
      <selection activeCell="R62" sqref="R62"/>
    </sheetView>
  </sheetViews>
  <sheetFormatPr defaultRowHeight="14.4" x14ac:dyDescent="0.3"/>
  <cols>
    <col min="1" max="1" width="27" customWidth="1"/>
    <col min="2" max="2" width="24.109375" bestFit="1" customWidth="1"/>
    <col min="3" max="3" width="15.6640625" bestFit="1" customWidth="1"/>
    <col min="5" max="5" width="15.6640625" bestFit="1" customWidth="1"/>
  </cols>
  <sheetData>
    <row r="1" spans="1:6" ht="26.4" customHeight="1" x14ac:dyDescent="0.5">
      <c r="A1" s="25" t="s">
        <v>618</v>
      </c>
      <c r="B1" s="25"/>
      <c r="C1" s="25"/>
      <c r="D1" s="25"/>
      <c r="E1" s="25"/>
      <c r="F1" s="25"/>
    </row>
  </sheetData>
  <mergeCells count="1">
    <mergeCell ref="A1:F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93A0E5-4B6C-4DF0-8F43-E5ABA082E56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data</vt:lpstr>
      <vt:lpstr>CleanedData</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1000100630</dc:creator>
  <cp:lastModifiedBy>Aditya Raj Majumder</cp:lastModifiedBy>
  <dcterms:created xsi:type="dcterms:W3CDTF">2025-09-11T12:21:12Z</dcterms:created>
  <dcterms:modified xsi:type="dcterms:W3CDTF">2025-10-10T15:06:02Z</dcterms:modified>
</cp:coreProperties>
</file>